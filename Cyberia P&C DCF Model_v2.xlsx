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3A2E4992-E036-4D06-94C6-8A1134C5BDA3}" xr6:coauthVersionLast="47" xr6:coauthVersionMax="47" xr10:uidLastSave="{00000000-0000-0000-0000-000000000000}"/>
  <bookViews>
    <workbookView xWindow="-108" yWindow="-108" windowWidth="23256" windowHeight="12576" xr2:uid="{00000000-000D-0000-FFFF-FFFF00000000}"/>
  </bookViews>
  <sheets>
    <sheet name="Summary" sheetId="8" r:id="rId1"/>
    <sheet name="Financials" sheetId="5" r:id="rId2"/>
    <sheet name="DCF" sheetId="2" r:id="rId3"/>
    <sheet name="Debt Schedule" sheetId="7" r:id="rId4"/>
    <sheet name="Claims &amp; Reserve Modeling" sheetId="3" r:id="rId5"/>
    <sheet name="Assumptions" sheetId="1" r:id="rId6"/>
    <sheet name="Notes"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8" l="1"/>
  <c r="C21" i="8"/>
  <c r="C20" i="8"/>
  <c r="C19" i="8"/>
  <c r="C18" i="8"/>
  <c r="C13" i="2"/>
  <c r="C4" i="5"/>
  <c r="C9" i="5" s="1"/>
  <c r="C54" i="5" s="1"/>
  <c r="C68" i="5"/>
  <c r="I67" i="5"/>
  <c r="H67" i="5"/>
  <c r="G67" i="5"/>
  <c r="F67" i="5"/>
  <c r="E67" i="5"/>
  <c r="D67" i="5"/>
  <c r="C67" i="5"/>
  <c r="C66" i="5"/>
  <c r="C3" i="7"/>
  <c r="C6" i="7" s="1"/>
  <c r="D3" i="7" s="1"/>
  <c r="D19" i="5" s="1"/>
  <c r="D69" i="5" s="1"/>
  <c r="I2" i="7"/>
  <c r="H2" i="7"/>
  <c r="G2" i="7"/>
  <c r="F2" i="7"/>
  <c r="E2" i="7"/>
  <c r="D2" i="7"/>
  <c r="C2" i="7"/>
  <c r="I23" i="3"/>
  <c r="C61" i="5" l="1"/>
  <c r="C32" i="5" s="1"/>
  <c r="C52" i="5"/>
  <c r="C4" i="3"/>
  <c r="D4" i="7"/>
  <c r="C37" i="5"/>
  <c r="C19" i="5"/>
  <c r="C69" i="5" s="1"/>
  <c r="C71" i="5" s="1"/>
  <c r="D4" i="5"/>
  <c r="C63" i="5"/>
  <c r="H3" i="3"/>
  <c r="H23" i="3" s="1"/>
  <c r="G3" i="3"/>
  <c r="G23" i="3" s="1"/>
  <c r="F3" i="3"/>
  <c r="F23" i="3" s="1"/>
  <c r="E3" i="3"/>
  <c r="E23" i="3" s="1"/>
  <c r="D3" i="3"/>
  <c r="D23" i="3" s="1"/>
  <c r="C3" i="3"/>
  <c r="C23" i="3" s="1"/>
  <c r="C32" i="1"/>
  <c r="C14" i="1"/>
  <c r="C28" i="1"/>
  <c r="C23" i="1"/>
  <c r="C16" i="1" s="1"/>
  <c r="E4" i="5" l="1"/>
  <c r="D61" i="5"/>
  <c r="D4" i="3"/>
  <c r="D5" i="3" s="1"/>
  <c r="D52" i="5"/>
  <c r="C17" i="1"/>
  <c r="C14" i="2" s="1"/>
  <c r="I8" i="2" s="1"/>
  <c r="D9" i="5"/>
  <c r="D54" i="5" s="1"/>
  <c r="D66" i="5"/>
  <c r="D68" i="5"/>
  <c r="D71" i="5" s="1"/>
  <c r="D6" i="7"/>
  <c r="F4" i="5"/>
  <c r="E9" i="5"/>
  <c r="E54" i="5" s="1"/>
  <c r="C5" i="3"/>
  <c r="E8" i="2" l="1"/>
  <c r="G8" i="2"/>
  <c r="F8" i="2"/>
  <c r="D8" i="2"/>
  <c r="H8" i="2"/>
  <c r="F52" i="5"/>
  <c r="F61" i="5"/>
  <c r="F4" i="3"/>
  <c r="F5" i="3" s="1"/>
  <c r="D32" i="5"/>
  <c r="D63" i="5"/>
  <c r="E4" i="3"/>
  <c r="E5" i="3" s="1"/>
  <c r="E8" i="3" s="1"/>
  <c r="E16" i="3" s="1"/>
  <c r="E52" i="5"/>
  <c r="E61" i="5"/>
  <c r="D37" i="5"/>
  <c r="E3" i="7"/>
  <c r="E4" i="7"/>
  <c r="F9" i="5"/>
  <c r="F54" i="5" s="1"/>
  <c r="G4" i="5"/>
  <c r="D7" i="3"/>
  <c r="D14" i="3" s="1"/>
  <c r="D25" i="3"/>
  <c r="D6" i="3"/>
  <c r="D13" i="3" s="1"/>
  <c r="D8" i="3"/>
  <c r="D15" i="3" s="1"/>
  <c r="C8" i="3"/>
  <c r="C14" i="3" s="1"/>
  <c r="C7" i="3"/>
  <c r="C13" i="3" s="1"/>
  <c r="C25" i="3"/>
  <c r="C6" i="3"/>
  <c r="C12" i="3" s="1"/>
  <c r="E25" i="3"/>
  <c r="E6" i="3"/>
  <c r="E14" i="3" s="1"/>
  <c r="E7" i="3" l="1"/>
  <c r="E15" i="3" s="1"/>
  <c r="E63" i="5"/>
  <c r="E32" i="5"/>
  <c r="F32" i="5"/>
  <c r="F63" i="5"/>
  <c r="G61" i="5"/>
  <c r="G4" i="3"/>
  <c r="G5" i="3" s="1"/>
  <c r="G52" i="5"/>
  <c r="E66" i="5"/>
  <c r="E68" i="5"/>
  <c r="E19" i="5"/>
  <c r="E69" i="5" s="1"/>
  <c r="E6" i="7"/>
  <c r="G9" i="5"/>
  <c r="G54" i="5" s="1"/>
  <c r="H4" i="5"/>
  <c r="C19" i="3"/>
  <c r="C20" i="3" s="1"/>
  <c r="J12" i="3"/>
  <c r="D19" i="3"/>
  <c r="D20" i="3" s="1"/>
  <c r="E19" i="3"/>
  <c r="E20" i="3" s="1"/>
  <c r="J13" i="3"/>
  <c r="D26" i="3" s="1"/>
  <c r="J14" i="3"/>
  <c r="E26" i="3" s="1"/>
  <c r="C26" i="3"/>
  <c r="F25" i="3"/>
  <c r="F6" i="3"/>
  <c r="F15" i="3" s="1"/>
  <c r="F8" i="3"/>
  <c r="F17" i="3" s="1"/>
  <c r="F7" i="3"/>
  <c r="F16" i="3" s="1"/>
  <c r="F19" i="3" l="1"/>
  <c r="H61" i="5"/>
  <c r="H52" i="5"/>
  <c r="H4" i="3"/>
  <c r="H5" i="3" s="1"/>
  <c r="G32" i="5"/>
  <c r="G63" i="5"/>
  <c r="E71" i="5"/>
  <c r="E37" i="5"/>
  <c r="F3" i="7"/>
  <c r="F19" i="5" s="1"/>
  <c r="F69" i="5" s="1"/>
  <c r="F4" i="7"/>
  <c r="D53" i="5"/>
  <c r="D7" i="5"/>
  <c r="E7" i="5"/>
  <c r="E53" i="5"/>
  <c r="C53" i="5"/>
  <c r="C7" i="5"/>
  <c r="H9" i="5"/>
  <c r="H54" i="5" s="1"/>
  <c r="I4" i="5"/>
  <c r="J15" i="3"/>
  <c r="F26" i="3" s="1"/>
  <c r="G8" i="3"/>
  <c r="G18" i="3" s="1"/>
  <c r="G7" i="3"/>
  <c r="G17" i="3" s="1"/>
  <c r="G6" i="3"/>
  <c r="G16" i="3" s="1"/>
  <c r="F20" i="3"/>
  <c r="C27" i="3"/>
  <c r="G25" i="3"/>
  <c r="I4" i="3" l="1"/>
  <c r="I52" i="5"/>
  <c r="I61" i="5"/>
  <c r="H32" i="5"/>
  <c r="H63" i="5"/>
  <c r="F6" i="7"/>
  <c r="F68" i="5"/>
  <c r="F71" i="5" s="1"/>
  <c r="F66" i="5"/>
  <c r="I5" i="3"/>
  <c r="F53" i="5"/>
  <c r="F7" i="5"/>
  <c r="D24" i="3"/>
  <c r="C29" i="3"/>
  <c r="C36" i="5"/>
  <c r="C31" i="5"/>
  <c r="I9" i="5"/>
  <c r="I54" i="5" s="1"/>
  <c r="G19" i="3"/>
  <c r="G20" i="3" s="1"/>
  <c r="J16" i="3"/>
  <c r="H7" i="3"/>
  <c r="H18" i="3" s="1"/>
  <c r="H6" i="3"/>
  <c r="H17" i="3" s="1"/>
  <c r="H19" i="3" s="1"/>
  <c r="H8" i="3"/>
  <c r="C28" i="3"/>
  <c r="H25" i="3"/>
  <c r="I63" i="5" l="1"/>
  <c r="I32" i="5"/>
  <c r="F37" i="5"/>
  <c r="G3" i="7"/>
  <c r="G4" i="7"/>
  <c r="C15" i="5"/>
  <c r="I8" i="3"/>
  <c r="I7" i="3"/>
  <c r="I25" i="3"/>
  <c r="I6" i="3"/>
  <c r="I18" i="3" s="1"/>
  <c r="I19" i="3" s="1"/>
  <c r="I20" i="3" s="1"/>
  <c r="D27" i="3"/>
  <c r="D29" i="3" s="1"/>
  <c r="C11" i="5"/>
  <c r="C13" i="5" s="1"/>
  <c r="C17" i="5" s="1"/>
  <c r="C21" i="5" s="1"/>
  <c r="C23" i="5" s="1"/>
  <c r="C25" i="5" s="1"/>
  <c r="C56" i="5"/>
  <c r="C39" i="5"/>
  <c r="J17" i="3"/>
  <c r="H26" i="3" s="1"/>
  <c r="G26" i="3"/>
  <c r="H20" i="3"/>
  <c r="G19" i="5" l="1"/>
  <c r="G69" i="5" s="1"/>
  <c r="G6" i="7"/>
  <c r="G68" i="5"/>
  <c r="G66" i="5"/>
  <c r="J18" i="3"/>
  <c r="I26" i="3" s="1"/>
  <c r="C55" i="5"/>
  <c r="C30" i="5"/>
  <c r="C33" i="5" s="1"/>
  <c r="C47" i="5" s="1"/>
  <c r="D15" i="5"/>
  <c r="D55" i="5" s="1"/>
  <c r="I7" i="5"/>
  <c r="C58" i="5"/>
  <c r="C6" i="2" s="1"/>
  <c r="H53" i="5"/>
  <c r="H7" i="5"/>
  <c r="G53" i="5"/>
  <c r="G7" i="5"/>
  <c r="D31" i="5"/>
  <c r="D36" i="5"/>
  <c r="D28" i="3"/>
  <c r="E24" i="3"/>
  <c r="J20" i="3"/>
  <c r="G71" i="5" l="1"/>
  <c r="G37" i="5"/>
  <c r="H3" i="7"/>
  <c r="H4" i="7"/>
  <c r="C72" i="5"/>
  <c r="I53" i="5"/>
  <c r="D30" i="5"/>
  <c r="C42" i="5"/>
  <c r="C45" i="5" s="1"/>
  <c r="C46" i="5"/>
  <c r="D39" i="5"/>
  <c r="D33" i="5"/>
  <c r="D47" i="5" s="1"/>
  <c r="E27" i="3"/>
  <c r="E29" i="3" s="1"/>
  <c r="D56" i="5"/>
  <c r="D58" i="5" s="1"/>
  <c r="D11" i="5"/>
  <c r="D13" i="5" s="1"/>
  <c r="D17" i="5" s="1"/>
  <c r="D21" i="5" s="1"/>
  <c r="D23" i="5" s="1"/>
  <c r="D25" i="5" s="1"/>
  <c r="H19" i="5" l="1"/>
  <c r="H69" i="5" s="1"/>
  <c r="H6" i="7"/>
  <c r="H66" i="5"/>
  <c r="H68" i="5"/>
  <c r="C44" i="5"/>
  <c r="E15" i="5"/>
  <c r="E55" i="5" s="1"/>
  <c r="D46" i="5"/>
  <c r="E36" i="5"/>
  <c r="E31" i="5"/>
  <c r="E28" i="3"/>
  <c r="F24" i="3"/>
  <c r="D42" i="5"/>
  <c r="D6" i="2"/>
  <c r="D10" i="2" s="1"/>
  <c r="D72" i="5"/>
  <c r="H71" i="5" l="1"/>
  <c r="H37" i="5"/>
  <c r="I3" i="7"/>
  <c r="I4" i="7"/>
  <c r="E30" i="5"/>
  <c r="E33" i="5" s="1"/>
  <c r="E47" i="5" s="1"/>
  <c r="E56" i="5"/>
  <c r="E58" i="5" s="1"/>
  <c r="E11" i="5"/>
  <c r="E13" i="5" s="1"/>
  <c r="E17" i="5" s="1"/>
  <c r="E21" i="5" s="1"/>
  <c r="E23" i="5" s="1"/>
  <c r="E25" i="5" s="1"/>
  <c r="D44" i="5"/>
  <c r="D45" i="5"/>
  <c r="E39" i="5"/>
  <c r="F27" i="3"/>
  <c r="F29" i="3"/>
  <c r="I19" i="5" l="1"/>
  <c r="I69" i="5" s="1"/>
  <c r="I6" i="7"/>
  <c r="I37" i="5" s="1"/>
  <c r="I66" i="5"/>
  <c r="I68" i="5"/>
  <c r="F15" i="5"/>
  <c r="E6" i="2"/>
  <c r="E10" i="2" s="1"/>
  <c r="E72" i="5"/>
  <c r="F36" i="5"/>
  <c r="F39" i="5" s="1"/>
  <c r="F31" i="5"/>
  <c r="G24" i="3"/>
  <c r="F28" i="3"/>
  <c r="E46" i="5"/>
  <c r="E42" i="5"/>
  <c r="E45" i="5" s="1"/>
  <c r="I71" i="5" l="1"/>
  <c r="E44" i="5"/>
  <c r="F55" i="5"/>
  <c r="F30" i="5"/>
  <c r="F33" i="5" s="1"/>
  <c r="F46" i="5" s="1"/>
  <c r="G27" i="3"/>
  <c r="G29" i="3" s="1"/>
  <c r="F11" i="5"/>
  <c r="F13" i="5" s="1"/>
  <c r="F17" i="5" s="1"/>
  <c r="F21" i="5" s="1"/>
  <c r="F23" i="5" s="1"/>
  <c r="F25" i="5" s="1"/>
  <c r="F56" i="5"/>
  <c r="F58" i="5" s="1"/>
  <c r="F47" i="5" l="1"/>
  <c r="F42" i="5"/>
  <c r="F45" i="5" s="1"/>
  <c r="G15" i="5"/>
  <c r="G55" i="5" s="1"/>
  <c r="F6" i="2"/>
  <c r="F10" i="2" s="1"/>
  <c r="F72" i="5"/>
  <c r="G31" i="5"/>
  <c r="G36" i="5"/>
  <c r="G39" i="5" s="1"/>
  <c r="H24" i="3"/>
  <c r="G28" i="3"/>
  <c r="G30" i="5" l="1"/>
  <c r="F44" i="5"/>
  <c r="G33" i="5"/>
  <c r="G46" i="5" s="1"/>
  <c r="G56" i="5"/>
  <c r="G58" i="5" s="1"/>
  <c r="G11" i="5"/>
  <c r="G13" i="5" s="1"/>
  <c r="G17" i="5" s="1"/>
  <c r="G21" i="5" s="1"/>
  <c r="G23" i="5" s="1"/>
  <c r="G25" i="5" s="1"/>
  <c r="H27" i="3"/>
  <c r="H29" i="3" s="1"/>
  <c r="H15" i="5" l="1"/>
  <c r="H55" i="5" s="1"/>
  <c r="G6" i="2"/>
  <c r="G10" i="2" s="1"/>
  <c r="G72" i="5"/>
  <c r="H31" i="5"/>
  <c r="H36" i="5"/>
  <c r="H39" i="5" s="1"/>
  <c r="H28" i="3"/>
  <c r="I24" i="3"/>
  <c r="G47" i="5"/>
  <c r="G42" i="5"/>
  <c r="G45" i="5" s="1"/>
  <c r="H30" i="5"/>
  <c r="I27" i="3" l="1"/>
  <c r="I29" i="3" s="1"/>
  <c r="G44" i="5"/>
  <c r="H56" i="5"/>
  <c r="H58" i="5" s="1"/>
  <c r="H11" i="5"/>
  <c r="H13" i="5" s="1"/>
  <c r="H17" i="5" s="1"/>
  <c r="H21" i="5" s="1"/>
  <c r="H23" i="5" s="1"/>
  <c r="H25" i="5" s="1"/>
  <c r="H33" i="5"/>
  <c r="I15" i="5" l="1"/>
  <c r="H47" i="5"/>
  <c r="H42" i="5"/>
  <c r="H45" i="5" s="1"/>
  <c r="H46" i="5"/>
  <c r="H6" i="2"/>
  <c r="H72" i="5"/>
  <c r="I28" i="3"/>
  <c r="I36" i="5"/>
  <c r="I39" i="5" s="1"/>
  <c r="I31" i="5"/>
  <c r="H44" i="5" l="1"/>
  <c r="I55" i="5"/>
  <c r="I30" i="5"/>
  <c r="I56" i="5"/>
  <c r="I11" i="5"/>
  <c r="I13" i="5" s="1"/>
  <c r="I17" i="5" s="1"/>
  <c r="I21" i="5" s="1"/>
  <c r="I23" i="5" s="1"/>
  <c r="I25" i="5" s="1"/>
  <c r="H10" i="2"/>
  <c r="I33" i="5" l="1"/>
  <c r="I46" i="5" s="1"/>
  <c r="C21" i="2"/>
  <c r="I47" i="5"/>
  <c r="I58" i="5"/>
  <c r="I72" i="5" s="1"/>
  <c r="I42" i="5"/>
  <c r="I45" i="5" s="1"/>
  <c r="I44" i="5" l="1"/>
  <c r="I6" i="2"/>
  <c r="C12" i="2" s="1"/>
  <c r="C16" i="2" s="1"/>
  <c r="I10" i="2" l="1"/>
  <c r="C19" i="2" s="1"/>
  <c r="C17" i="2"/>
  <c r="C20" i="2" l="1"/>
  <c r="C27" i="2" l="1"/>
  <c r="C23" i="2"/>
</calcChain>
</file>

<file path=xl/sharedStrings.xml><?xml version="1.0" encoding="utf-8"?>
<sst xmlns="http://schemas.openxmlformats.org/spreadsheetml/2006/main" count="217" uniqueCount="187">
  <si>
    <t>WACC</t>
  </si>
  <si>
    <t>Base Premiums Written</t>
  </si>
  <si>
    <t>Final WACC</t>
  </si>
  <si>
    <t>Premium Growth Rate</t>
  </si>
  <si>
    <t>Equity</t>
  </si>
  <si>
    <t>Loss Ratio</t>
  </si>
  <si>
    <t>Risk-Free Rate</t>
  </si>
  <si>
    <t>Expense Ratio</t>
  </si>
  <si>
    <t>Beta</t>
  </si>
  <si>
    <t>Investment Yield</t>
  </si>
  <si>
    <t>Equity Risk Premium</t>
  </si>
  <si>
    <t>Discount Rate</t>
  </si>
  <si>
    <t>Insurer Risk Premium</t>
  </si>
  <si>
    <t>Terminal Growth Rate</t>
  </si>
  <si>
    <t>Cost of Equity</t>
  </si>
  <si>
    <t>Reserve</t>
  </si>
  <si>
    <t>Capex as % of Premium</t>
  </si>
  <si>
    <t>Debt</t>
  </si>
  <si>
    <t>Pre-tax Debt Cost</t>
  </si>
  <si>
    <t>Tax Rate</t>
  </si>
  <si>
    <t>Cost of Debt</t>
  </si>
  <si>
    <t>Net Debt</t>
  </si>
  <si>
    <t>Adjustment</t>
  </si>
  <si>
    <t>Underwriting Cycle Risk</t>
  </si>
  <si>
    <t>Reserve Risk</t>
  </si>
  <si>
    <t>Cyberia Inc.</t>
  </si>
  <si>
    <t>Discounted Cash Flow</t>
  </si>
  <si>
    <t>2024A</t>
  </si>
  <si>
    <t>2025E</t>
  </si>
  <si>
    <t>2026E</t>
  </si>
  <si>
    <t>2027E</t>
  </si>
  <si>
    <t>2028E</t>
  </si>
  <si>
    <t>2029E</t>
  </si>
  <si>
    <t>Premium Written</t>
  </si>
  <si>
    <t>Claims Paid</t>
  </si>
  <si>
    <t>Underwriting Expenses</t>
  </si>
  <si>
    <t>Underwriting Profit</t>
  </si>
  <si>
    <t>Investment Income</t>
  </si>
  <si>
    <t>Capex</t>
  </si>
  <si>
    <t>Free Cash Flow</t>
  </si>
  <si>
    <t>Factor</t>
  </si>
  <si>
    <t>Discounted FCF</t>
  </si>
  <si>
    <t>PGR</t>
  </si>
  <si>
    <t>Terminal Value</t>
  </si>
  <si>
    <t>PV of CF</t>
  </si>
  <si>
    <t>EV</t>
  </si>
  <si>
    <t>Minority Interest</t>
  </si>
  <si>
    <t>Equity Value</t>
  </si>
  <si>
    <t>Claims Modeling</t>
  </si>
  <si>
    <t>Year</t>
  </si>
  <si>
    <t>Claims Payout Ratio</t>
  </si>
  <si>
    <t>Premium</t>
  </si>
  <si>
    <t>Normal</t>
  </si>
  <si>
    <t>Total Claims</t>
  </si>
  <si>
    <t>Year 1</t>
  </si>
  <si>
    <t>Year 2</t>
  </si>
  <si>
    <t>Paid Year 1</t>
  </si>
  <si>
    <t>Paid Year 2</t>
  </si>
  <si>
    <t>Year 3</t>
  </si>
  <si>
    <t>Paid Year 3</t>
  </si>
  <si>
    <t>Actual Pay Perod/ Claims Period</t>
  </si>
  <si>
    <t>2024 Claims</t>
  </si>
  <si>
    <t>2025 Claims</t>
  </si>
  <si>
    <t>2026 Claims</t>
  </si>
  <si>
    <t>2027 Claims</t>
  </si>
  <si>
    <t>2028 Claims</t>
  </si>
  <si>
    <t>2029 Claims</t>
  </si>
  <si>
    <t>Total Paid</t>
  </si>
  <si>
    <t>2024</t>
  </si>
  <si>
    <t>2025</t>
  </si>
  <si>
    <t>2026</t>
  </si>
  <si>
    <t>2027</t>
  </si>
  <si>
    <t>2028</t>
  </si>
  <si>
    <t>2029</t>
  </si>
  <si>
    <t>Check</t>
  </si>
  <si>
    <t>Reserve Modeling</t>
  </si>
  <si>
    <t>Opening Reserve</t>
  </si>
  <si>
    <t xml:space="preserve"> (+)New Claims</t>
  </si>
  <si>
    <t>(-) Claims Paid</t>
  </si>
  <si>
    <t>Closing Reserve</t>
  </si>
  <si>
    <t>Senstivity Analysis</t>
  </si>
  <si>
    <t>2023E</t>
  </si>
  <si>
    <t>20230 Claims</t>
  </si>
  <si>
    <t>2030</t>
  </si>
  <si>
    <t>Change in Reserve</t>
  </si>
  <si>
    <t>Average Reserve Balance</t>
  </si>
  <si>
    <t>Assets</t>
  </si>
  <si>
    <t>Cash &amp; Cash Investments</t>
  </si>
  <si>
    <t>Reserves</t>
  </si>
  <si>
    <t>Liabilities</t>
  </si>
  <si>
    <t>Claims Reserve</t>
  </si>
  <si>
    <t>Other Liabilities</t>
  </si>
  <si>
    <t>Retained Earnings</t>
  </si>
  <si>
    <t>Balance Sheet as of</t>
  </si>
  <si>
    <t>2030E</t>
  </si>
  <si>
    <t>Total Assets</t>
  </si>
  <si>
    <t>Other Assets</t>
  </si>
  <si>
    <t>Total Liabilities</t>
  </si>
  <si>
    <t>Balance Sheet Check</t>
  </si>
  <si>
    <t>Opening Debt</t>
  </si>
  <si>
    <t>Growth</t>
  </si>
  <si>
    <t>Repayment</t>
  </si>
  <si>
    <t>Closing Debt</t>
  </si>
  <si>
    <t>Debt Strategy: Controlled Growth + Repayment</t>
  </si>
  <si>
    <t>Assumptions</t>
  </si>
  <si>
    <t>Started with 15M in 2024</t>
  </si>
  <si>
    <t>Grow debt by 5% annually; reflecting expansion</t>
  </si>
  <si>
    <t>Repay 2.5M per year; reflecting disciplined deleveraging</t>
  </si>
  <si>
    <t>Statement of Cash Flow</t>
  </si>
  <si>
    <t>Operating Cash Flow</t>
  </si>
  <si>
    <t>Expenses</t>
  </si>
  <si>
    <t>Cash Flow from Operating Activites</t>
  </si>
  <si>
    <t>Investing Cash Flow</t>
  </si>
  <si>
    <t>Capital Expenditure</t>
  </si>
  <si>
    <t>Cash Flow from Investing Activities</t>
  </si>
  <si>
    <t>Financing Cash Flow</t>
  </si>
  <si>
    <t>Debt Growth</t>
  </si>
  <si>
    <t>Debt Repayment</t>
  </si>
  <si>
    <t>Net Debt Movement</t>
  </si>
  <si>
    <t>Interest Expense</t>
  </si>
  <si>
    <t>Cash Flow from Financing Activities</t>
  </si>
  <si>
    <t>Income Statement</t>
  </si>
  <si>
    <t>Operating Costs</t>
  </si>
  <si>
    <t>Change in Claim Reserve</t>
  </si>
  <si>
    <t>Operating Profit (EBIT)</t>
  </si>
  <si>
    <t>Profit before Tax</t>
  </si>
  <si>
    <t>Tax Expense</t>
  </si>
  <si>
    <t>Net Income</t>
  </si>
  <si>
    <t>FCF in 2030</t>
  </si>
  <si>
    <t>Discounted Terminal Value</t>
  </si>
  <si>
    <t>Cash Calculations</t>
  </si>
  <si>
    <t>Reserve Treatment</t>
  </si>
  <si>
    <t>Debt &amp; Interest</t>
  </si>
  <si>
    <t>DCF Structure</t>
  </si>
  <si>
    <t>Equity Value = Enterprise Value – Net Debt.</t>
  </si>
  <si>
    <t>Claims are projected as a % of premiums written, reflecting expected payout ratios</t>
  </si>
  <si>
    <t>Claims Paid flow directly into Operating Cash Flow as outflows.</t>
  </si>
  <si>
    <t>Reserve changes are modeled separately to capture timing differences between incurred vs. paid claims.</t>
  </si>
  <si>
    <t>Loss ratio (Claims ÷ Premiums) is tracked to benchmark against industry norms</t>
  </si>
  <si>
    <t>Cash balance is built dynamically from Premiums – Claims – Expenses + Investment Income – Reserve Changes – Capex – Financing Flows</t>
  </si>
  <si>
    <t>Premiums drive inflows, claims and expenses drive outflows</t>
  </si>
  <si>
    <t>Investment income is modeled as a fixed yield (e.g., 4%) on reserves</t>
  </si>
  <si>
    <t>By 2030, cash grows to ₹359M, reflecting strong float accumulation and retained earnings</t>
  </si>
  <si>
    <t>Reserves are modeled as both a liability (future claims obligation) and an asset (investable float).</t>
  </si>
  <si>
    <t>Change in reserves is treated as an operating cash outflow.</t>
  </si>
  <si>
    <t>Investment income is earned on reserves, linking balance sheet and cash flow.</t>
  </si>
  <si>
    <t>Capex is modeled as 1.5% of premiums, representing technology and infrastructure spend.</t>
  </si>
  <si>
    <t>Appears in Investing Cash Flow as outflow.</t>
  </si>
  <si>
    <t>In balance sheet, Capex increases fixed assets (optional).</t>
  </si>
  <si>
    <t>Depreciation is not modeled — focus remains on cash flows</t>
  </si>
  <si>
    <t>Debt schedule includes annual growth and repayments.</t>
  </si>
  <si>
    <t>Interest expense is calculated on opening debt balance at 6%.</t>
  </si>
  <si>
    <t>Net Debt = Debt – Cash, updated dynamically each year.</t>
  </si>
  <si>
    <t>By 2030, Net Debt = –₹355.91M (net cash position)</t>
  </si>
  <si>
    <t>Free Cash Flows are referenced directly from the cash flow statement.</t>
  </si>
  <si>
    <t>Discount factors applied using WACC (11.42%).</t>
  </si>
  <si>
    <t>Terminal Value calculated via Gordon Growth (2% perpetual growth).</t>
  </si>
  <si>
    <t>Enterprise Value = PV of Explicit FCFs + PV of Terminal Value.</t>
  </si>
  <si>
    <t>Sensitivity analysis included for WACC and growth rate</t>
  </si>
  <si>
    <t>Opening Cash</t>
  </si>
  <si>
    <t>Net Opening Debt</t>
  </si>
  <si>
    <t>Company Fundamentals - Financial Summary</t>
  </si>
  <si>
    <t>Company Name</t>
  </si>
  <si>
    <t>Country of Headquarters</t>
  </si>
  <si>
    <t>Bermuda</t>
  </si>
  <si>
    <t>Industry Group</t>
  </si>
  <si>
    <t>P&amp;C Insurance</t>
  </si>
  <si>
    <t>Date of Analysis</t>
  </si>
  <si>
    <t>Name of Analyst</t>
  </si>
  <si>
    <t>Abhishek Kaushish</t>
  </si>
  <si>
    <t>Parameter</t>
  </si>
  <si>
    <t>Value</t>
  </si>
  <si>
    <t>Forecast Period</t>
  </si>
  <si>
    <t>2025- 2030</t>
  </si>
  <si>
    <t>Perpetual Growth Rate</t>
  </si>
  <si>
    <t>FCF in Terminal Year</t>
  </si>
  <si>
    <t>Valuation Output</t>
  </si>
  <si>
    <t>Key Assumptions</t>
  </si>
  <si>
    <t>PV of Terminal Value</t>
  </si>
  <si>
    <t>Enterprise Value (EV)</t>
  </si>
  <si>
    <t>PV of FCFs</t>
  </si>
  <si>
    <t>Particular</t>
  </si>
  <si>
    <t>Cyberia Inc. demonstrates robust cash generation and a significant net cash position, which materially enhances Equity Value. DCF analysis confirms that the company's intrinsic value is well supported under conservative assumptions, with upside potential if growth rates improve or cost of capital declines.</t>
  </si>
  <si>
    <t>Conclusion: **</t>
  </si>
  <si>
    <t>**</t>
  </si>
  <si>
    <t>Refer to Notes for detailed analysis</t>
  </si>
  <si>
    <t>Dual treatment ensures the model reflects the insurer’s unique economics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</si>
</sst>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5" formatCode="&quot;$&quot;#,##0"/>
    <numFmt numFmtId="166" formatCode="0.0"/>
    <numFmt numFmtId="167" formatCode="_(&quot;$&quot;* #,##0_);_(&quot;$&quot;* \(#,##0\);_(&quot;$&quot;* &quot;-&quot;??_);_(@_)"/>
    <numFmt numFmtId="168" formatCode="_([$$-409]* #,##0_);_([$$-409]* \(#,##0\);_([$$-409]* &quot;-&quot;??_);_(@_)"/>
    <numFmt numFmtId="170" formatCode="0.0000%"/>
    <numFmt numFmtId="171" formatCode="0.0%"/>
  </numFmts>
  <fonts count="27" x14ac:knownFonts="1">
    <font>
      <sz val="10"/>
      <color rgb="FF000000"/>
      <name val="Arial"/>
      <scheme val="minor"/>
    </font>
    <font>
      <sz val="10"/>
      <color theme="1"/>
      <name val="Arial"/>
      <scheme val="minor"/>
    </font>
    <font>
      <b/>
      <sz val="10"/>
      <color rgb="FFFFFFFF"/>
      <name val="Arial"/>
      <scheme val="minor"/>
    </font>
    <font>
      <sz val="10"/>
      <color rgb="FFFFFFFF"/>
      <name val="Arial"/>
      <scheme val="minor"/>
    </font>
    <font>
      <b/>
      <sz val="10"/>
      <color theme="1"/>
      <name val="Arial"/>
      <scheme val="minor"/>
    </font>
    <font>
      <i/>
      <sz val="10"/>
      <color theme="1"/>
      <name val="Arial"/>
      <scheme val="minor"/>
    </font>
    <font>
      <sz val="10"/>
      <color theme="1"/>
      <name val="Arial"/>
    </font>
    <font>
      <sz val="10"/>
      <name val="Arial"/>
    </font>
    <font>
      <i/>
      <sz val="6"/>
      <color rgb="FFFF0000"/>
      <name val="Arial"/>
      <scheme val="minor"/>
    </font>
    <font>
      <sz val="10"/>
      <color rgb="FF000000"/>
      <name val="Arial"/>
      <scheme val="minor"/>
    </font>
    <font>
      <sz val="10"/>
      <color theme="1"/>
      <name val="Arial"/>
      <family val="2"/>
      <scheme val="minor"/>
    </font>
    <font>
      <sz val="10"/>
      <color theme="0"/>
      <name val="Arial"/>
      <family val="2"/>
      <scheme val="minor"/>
    </font>
    <font>
      <b/>
      <sz val="10"/>
      <color theme="0"/>
      <name val="Arial"/>
      <family val="2"/>
      <scheme val="minor"/>
    </font>
    <font>
      <b/>
      <sz val="10"/>
      <color theme="1"/>
      <name val="Arial"/>
      <family val="2"/>
      <scheme val="minor"/>
    </font>
    <font>
      <sz val="10"/>
      <color rgb="FF0070C0"/>
      <name val="Arial"/>
      <family val="2"/>
      <scheme val="minor"/>
    </font>
    <font>
      <b/>
      <sz val="10"/>
      <color rgb="FF000000"/>
      <name val="Arial"/>
      <family val="2"/>
      <scheme val="minor"/>
    </font>
    <font>
      <b/>
      <sz val="10"/>
      <color rgb="FFFFFFFF"/>
      <name val="Arial"/>
      <family val="2"/>
      <scheme val="minor"/>
    </font>
    <font>
      <sz val="10"/>
      <color rgb="FF000000"/>
      <name val="Arial"/>
      <family val="2"/>
      <scheme val="minor"/>
    </font>
    <font>
      <i/>
      <sz val="8"/>
      <color rgb="FFFF0000"/>
      <name val="Arial"/>
      <family val="2"/>
      <scheme val="minor"/>
    </font>
    <font>
      <sz val="10"/>
      <color rgb="FF00B050"/>
      <name val="Arial"/>
      <family val="2"/>
      <scheme val="minor"/>
    </font>
    <font>
      <sz val="10"/>
      <color theme="4"/>
      <name val="Arial"/>
      <family val="2"/>
      <scheme val="minor"/>
    </font>
    <font>
      <b/>
      <sz val="10"/>
      <color theme="4"/>
      <name val="Arial"/>
      <family val="2"/>
      <scheme val="minor"/>
    </font>
    <font>
      <sz val="11"/>
      <color rgb="FF000000"/>
      <name val="Calibri"/>
      <family val="2"/>
    </font>
    <font>
      <sz val="10"/>
      <color rgb="FF000000"/>
      <name val="Calibri"/>
      <family val="2"/>
    </font>
    <font>
      <b/>
      <u val="double"/>
      <sz val="10"/>
      <color rgb="FF000000"/>
      <name val="Arial"/>
      <family val="2"/>
      <scheme val="minor"/>
    </font>
    <font>
      <u val="double"/>
      <sz val="10"/>
      <color rgb="FF000000"/>
      <name val="Arial"/>
      <family val="2"/>
      <scheme val="minor"/>
    </font>
    <font>
      <i/>
      <sz val="8"/>
      <color rgb="FF000000"/>
      <name val="Arial"/>
      <family val="2"/>
      <scheme val="minor"/>
    </font>
  </fonts>
  <fills count="10">
    <fill>
      <patternFill patternType="none"/>
    </fill>
    <fill>
      <patternFill patternType="gray125"/>
    </fill>
    <fill>
      <patternFill patternType="solid">
        <fgColor rgb="FFB7B7B7"/>
        <bgColor rgb="FFB7B7B7"/>
      </patternFill>
    </fill>
    <fill>
      <patternFill patternType="solid">
        <fgColor rgb="FFFFFF00"/>
        <bgColor rgb="FFFFFF00"/>
      </patternFill>
    </fill>
    <fill>
      <patternFill patternType="solid">
        <fgColor rgb="FF073763"/>
        <bgColor rgb="FF073763"/>
      </patternFill>
    </fill>
    <fill>
      <patternFill patternType="solid">
        <fgColor rgb="FFFFFFFF"/>
        <bgColor rgb="FFFFFFFF"/>
      </patternFill>
    </fill>
    <fill>
      <patternFill patternType="solid">
        <fgColor rgb="FF999999"/>
        <bgColor rgb="FF999999"/>
      </patternFill>
    </fill>
    <fill>
      <patternFill patternType="solid">
        <fgColor rgb="FF002060"/>
        <bgColor indexed="64"/>
      </patternFill>
    </fill>
    <fill>
      <patternFill patternType="solid">
        <fgColor rgb="FF002060"/>
        <bgColor rgb="FF073763"/>
      </patternFill>
    </fill>
    <fill>
      <patternFill patternType="solid">
        <fgColor theme="0" tint="-0.249977111117893"/>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s>
  <cellStyleXfs count="5">
    <xf numFmtId="0" fontId="0" fillId="0" borderId="0"/>
    <xf numFmtId="44" fontId="9"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22" fillId="0" borderId="0" applyNumberFormat="0" applyBorder="0" applyAlignment="0"/>
  </cellStyleXfs>
  <cellXfs count="148">
    <xf numFmtId="0" fontId="0" fillId="0" borderId="0" xfId="0"/>
    <xf numFmtId="0" fontId="1" fillId="0" borderId="0" xfId="0" applyFont="1"/>
    <xf numFmtId="9" fontId="1" fillId="0" borderId="0" xfId="0" applyNumberFormat="1" applyFont="1"/>
    <xf numFmtId="0" fontId="1" fillId="0" borderId="2" xfId="0" applyFont="1" applyBorder="1"/>
    <xf numFmtId="9" fontId="1" fillId="0" borderId="2" xfId="0" applyNumberFormat="1" applyFont="1" applyBorder="1"/>
    <xf numFmtId="0" fontId="1" fillId="0" borderId="3" xfId="0" applyFont="1" applyBorder="1"/>
    <xf numFmtId="10" fontId="1" fillId="0" borderId="3" xfId="0" applyNumberFormat="1" applyFont="1" applyBorder="1"/>
    <xf numFmtId="0" fontId="1" fillId="2" borderId="4" xfId="0" applyFont="1" applyFill="1" applyBorder="1"/>
    <xf numFmtId="10" fontId="1" fillId="2" borderId="4" xfId="0" applyNumberFormat="1" applyFont="1" applyFill="1" applyBorder="1"/>
    <xf numFmtId="0" fontId="1" fillId="0" borderId="5" xfId="0" applyFont="1" applyBorder="1"/>
    <xf numFmtId="0" fontId="1" fillId="0" borderId="6" xfId="0" applyFont="1" applyBorder="1"/>
    <xf numFmtId="9" fontId="1" fillId="0" borderId="7" xfId="0" applyNumberFormat="1" applyFont="1" applyBorder="1"/>
    <xf numFmtId="9" fontId="1" fillId="0" borderId="6" xfId="0" applyNumberFormat="1" applyFont="1" applyBorder="1"/>
    <xf numFmtId="0" fontId="1" fillId="2" borderId="1" xfId="0" applyFont="1" applyFill="1" applyBorder="1"/>
    <xf numFmtId="10" fontId="1" fillId="2" borderId="1" xfId="0" applyNumberFormat="1" applyFont="1" applyFill="1" applyBorder="1"/>
    <xf numFmtId="10" fontId="1" fillId="0" borderId="7" xfId="0" applyNumberFormat="1" applyFont="1" applyBorder="1"/>
    <xf numFmtId="0" fontId="1" fillId="0" borderId="4" xfId="0" applyFont="1" applyBorder="1"/>
    <xf numFmtId="9" fontId="1" fillId="0" borderId="8" xfId="0" applyNumberFormat="1" applyFont="1" applyBorder="1"/>
    <xf numFmtId="0" fontId="1" fillId="0" borderId="9" xfId="0" applyFont="1" applyBorder="1"/>
    <xf numFmtId="10" fontId="1" fillId="3" borderId="1" xfId="0" applyNumberFormat="1" applyFont="1" applyFill="1" applyBorder="1"/>
    <xf numFmtId="10" fontId="1" fillId="0" borderId="0" xfId="0" applyNumberFormat="1" applyFont="1"/>
    <xf numFmtId="0" fontId="2" fillId="4" borderId="0" xfId="0" applyFont="1" applyFill="1"/>
    <xf numFmtId="0" fontId="3" fillId="0" borderId="0" xfId="0" applyFont="1"/>
    <xf numFmtId="165" fontId="1" fillId="0" borderId="0" xfId="0" applyNumberFormat="1" applyFont="1"/>
    <xf numFmtId="0" fontId="5" fillId="0" borderId="0" xfId="0" applyFont="1"/>
    <xf numFmtId="166" fontId="5" fillId="0" borderId="0" xfId="0" applyNumberFormat="1" applyFont="1"/>
    <xf numFmtId="0" fontId="4" fillId="0" borderId="0" xfId="0" applyFont="1"/>
    <xf numFmtId="0" fontId="1" fillId="0" borderId="1" xfId="0" applyFont="1" applyBorder="1"/>
    <xf numFmtId="9" fontId="1" fillId="0" borderId="1" xfId="0" applyNumberFormat="1" applyFont="1" applyBorder="1"/>
    <xf numFmtId="0" fontId="2" fillId="4" borderId="0" xfId="0" applyFont="1" applyFill="1" applyAlignment="1">
      <alignment vertical="center" wrapText="1"/>
    </xf>
    <xf numFmtId="0" fontId="8" fillId="0" borderId="0" xfId="0" applyFont="1"/>
    <xf numFmtId="0" fontId="2" fillId="8" borderId="0" xfId="0" applyFont="1" applyFill="1"/>
    <xf numFmtId="0" fontId="1" fillId="8" borderId="0" xfId="0" applyFont="1" applyFill="1"/>
    <xf numFmtId="165" fontId="11" fillId="0" borderId="0" xfId="0" applyNumberFormat="1" applyFont="1"/>
    <xf numFmtId="0" fontId="10" fillId="0" borderId="0" xfId="0" applyFont="1"/>
    <xf numFmtId="10" fontId="10" fillId="0" borderId="0" xfId="0" applyNumberFormat="1" applyFont="1"/>
    <xf numFmtId="167" fontId="10" fillId="0" borderId="0" xfId="1" applyNumberFormat="1" applyFont="1" applyFill="1" applyBorder="1" applyAlignment="1"/>
    <xf numFmtId="167" fontId="10" fillId="9" borderId="0" xfId="1" applyNumberFormat="1" applyFont="1" applyFill="1" applyBorder="1" applyAlignment="1"/>
    <xf numFmtId="167" fontId="13" fillId="9" borderId="0" xfId="1" applyNumberFormat="1" applyFont="1" applyFill="1" applyBorder="1" applyAlignment="1"/>
    <xf numFmtId="0" fontId="1" fillId="0" borderId="15" xfId="0" applyFont="1" applyBorder="1"/>
    <xf numFmtId="0" fontId="1" fillId="0" borderId="16" xfId="0" applyFont="1" applyBorder="1"/>
    <xf numFmtId="0" fontId="0" fillId="0" borderId="16" xfId="0" applyBorder="1"/>
    <xf numFmtId="0" fontId="0" fillId="0" borderId="17" xfId="0" applyBorder="1"/>
    <xf numFmtId="0" fontId="1" fillId="0" borderId="18" xfId="0" applyFont="1" applyBorder="1"/>
    <xf numFmtId="165" fontId="14" fillId="0" borderId="20" xfId="0" applyNumberFormat="1" applyFont="1" applyBorder="1"/>
    <xf numFmtId="9" fontId="14" fillId="0" borderId="21" xfId="0" applyNumberFormat="1" applyFont="1" applyBorder="1"/>
    <xf numFmtId="165" fontId="14" fillId="0" borderId="21" xfId="0" applyNumberFormat="1" applyFont="1" applyBorder="1"/>
    <xf numFmtId="10" fontId="14" fillId="0" borderId="22" xfId="0" applyNumberFormat="1" applyFont="1" applyBorder="1"/>
    <xf numFmtId="165" fontId="14" fillId="0" borderId="22" xfId="0" applyNumberFormat="1" applyFont="1" applyBorder="1"/>
    <xf numFmtId="0" fontId="15" fillId="0" borderId="0" xfId="0" applyFont="1"/>
    <xf numFmtId="0" fontId="16" fillId="8" borderId="0" xfId="0" applyFont="1" applyFill="1"/>
    <xf numFmtId="0" fontId="17" fillId="0" borderId="0" xfId="0" applyFont="1"/>
    <xf numFmtId="9" fontId="0" fillId="0" borderId="0" xfId="3" applyFont="1"/>
    <xf numFmtId="0" fontId="15" fillId="0" borderId="23" xfId="0" applyFont="1" applyBorder="1"/>
    <xf numFmtId="0" fontId="18" fillId="0" borderId="0" xfId="0" applyFont="1"/>
    <xf numFmtId="165" fontId="13" fillId="0" borderId="0" xfId="0" applyNumberFormat="1" applyFont="1"/>
    <xf numFmtId="165" fontId="13" fillId="0" borderId="24" xfId="0" applyNumberFormat="1" applyFont="1" applyBorder="1"/>
    <xf numFmtId="165" fontId="13" fillId="0" borderId="25" xfId="0" applyNumberFormat="1" applyFont="1" applyBorder="1"/>
    <xf numFmtId="0" fontId="2" fillId="0" borderId="0" xfId="0" applyFont="1"/>
    <xf numFmtId="167" fontId="0" fillId="0" borderId="0" xfId="1" applyNumberFormat="1" applyFont="1"/>
    <xf numFmtId="167" fontId="15" fillId="0" borderId="24" xfId="1" applyNumberFormat="1" applyFont="1" applyBorder="1"/>
    <xf numFmtId="167" fontId="15" fillId="0" borderId="25" xfId="1" applyNumberFormat="1" applyFont="1" applyBorder="1"/>
    <xf numFmtId="168" fontId="0" fillId="0" borderId="0" xfId="2" applyNumberFormat="1" applyFont="1"/>
    <xf numFmtId="167" fontId="15" fillId="0" borderId="0" xfId="1" applyNumberFormat="1" applyFont="1"/>
    <xf numFmtId="168" fontId="15" fillId="0" borderId="0" xfId="0" applyNumberFormat="1" applyFont="1"/>
    <xf numFmtId="0" fontId="2" fillId="4" borderId="13" xfId="0" applyFont="1" applyFill="1" applyBorder="1"/>
    <xf numFmtId="0" fontId="2" fillId="4" borderId="14" xfId="0" applyFont="1" applyFill="1" applyBorder="1"/>
    <xf numFmtId="0" fontId="2" fillId="4" borderId="7" xfId="0" applyFont="1" applyFill="1" applyBorder="1"/>
    <xf numFmtId="165" fontId="1" fillId="0" borderId="26" xfId="0" applyNumberFormat="1" applyFont="1" applyBorder="1"/>
    <xf numFmtId="165" fontId="1" fillId="0" borderId="17" xfId="0" applyNumberFormat="1" applyFont="1" applyBorder="1"/>
    <xf numFmtId="165" fontId="1" fillId="0" borderId="19" xfId="0" applyNumberFormat="1" applyFont="1" applyBorder="1"/>
    <xf numFmtId="165" fontId="1" fillId="0" borderId="28" xfId="0" applyNumberFormat="1" applyFont="1" applyBorder="1"/>
    <xf numFmtId="0" fontId="17" fillId="0" borderId="15" xfId="0" applyFont="1" applyBorder="1"/>
    <xf numFmtId="0" fontId="17" fillId="0" borderId="16" xfId="0" applyFont="1" applyBorder="1"/>
    <xf numFmtId="165" fontId="6" fillId="5" borderId="17" xfId="0" applyNumberFormat="1" applyFont="1" applyFill="1" applyBorder="1"/>
    <xf numFmtId="0" fontId="1" fillId="0" borderId="17" xfId="0" applyFont="1" applyBorder="1"/>
    <xf numFmtId="165" fontId="0" fillId="0" borderId="27" xfId="0" applyNumberFormat="1" applyBorder="1"/>
    <xf numFmtId="0" fontId="10" fillId="0" borderId="16" xfId="0" applyFont="1" applyBorder="1"/>
    <xf numFmtId="0" fontId="13" fillId="0" borderId="29" xfId="0" applyFont="1" applyBorder="1"/>
    <xf numFmtId="165" fontId="13" fillId="0" borderId="30" xfId="0" applyNumberFormat="1" applyFont="1" applyBorder="1"/>
    <xf numFmtId="0" fontId="10" fillId="0" borderId="18" xfId="0" applyFont="1" applyBorder="1"/>
    <xf numFmtId="0" fontId="1" fillId="0" borderId="15" xfId="0" quotePrefix="1" applyFont="1" applyBorder="1"/>
    <xf numFmtId="0" fontId="1" fillId="0" borderId="26" xfId="0" applyFont="1" applyBorder="1"/>
    <xf numFmtId="0" fontId="1" fillId="0" borderId="27" xfId="0" applyFont="1" applyBorder="1"/>
    <xf numFmtId="0" fontId="1" fillId="0" borderId="16" xfId="0" quotePrefix="1" applyFont="1" applyBorder="1"/>
    <xf numFmtId="0" fontId="0" fillId="0" borderId="18" xfId="0" applyBorder="1"/>
    <xf numFmtId="165" fontId="0" fillId="0" borderId="19" xfId="0" applyNumberFormat="1" applyBorder="1"/>
    <xf numFmtId="165" fontId="0" fillId="0" borderId="28" xfId="0" applyNumberFormat="1" applyBorder="1"/>
    <xf numFmtId="167" fontId="17" fillId="0" borderId="15" xfId="1" applyNumberFormat="1" applyFont="1" applyBorder="1"/>
    <xf numFmtId="167" fontId="0" fillId="0" borderId="26" xfId="1" applyNumberFormat="1" applyFont="1" applyBorder="1"/>
    <xf numFmtId="167" fontId="0" fillId="0" borderId="27" xfId="1" applyNumberFormat="1" applyFont="1" applyBorder="1"/>
    <xf numFmtId="167" fontId="17" fillId="0" borderId="16" xfId="1" applyNumberFormat="1" applyFont="1" applyBorder="1"/>
    <xf numFmtId="167" fontId="0" fillId="0" borderId="0" xfId="1" applyNumberFormat="1" applyFont="1" applyBorder="1"/>
    <xf numFmtId="167" fontId="0" fillId="0" borderId="17" xfId="1" applyNumberFormat="1" applyFont="1" applyBorder="1"/>
    <xf numFmtId="167" fontId="17" fillId="0" borderId="18" xfId="1" applyNumberFormat="1" applyFont="1" applyBorder="1"/>
    <xf numFmtId="167" fontId="0" fillId="0" borderId="19" xfId="1" applyNumberFormat="1" applyFont="1" applyBorder="1"/>
    <xf numFmtId="167" fontId="0" fillId="0" borderId="28" xfId="1" applyNumberFormat="1" applyFont="1" applyBorder="1"/>
    <xf numFmtId="0" fontId="13" fillId="0" borderId="19" xfId="0" applyFont="1" applyBorder="1" applyAlignment="1">
      <alignment horizontal="center"/>
    </xf>
    <xf numFmtId="0" fontId="13" fillId="0" borderId="17" xfId="0" applyFont="1" applyBorder="1" applyAlignment="1">
      <alignment horizontal="center" vertical="center" textRotation="255"/>
    </xf>
    <xf numFmtId="0" fontId="12" fillId="7" borderId="19" xfId="0" applyFont="1" applyFill="1" applyBorder="1" applyAlignment="1">
      <alignment horizontal="center" vertical="center"/>
    </xf>
    <xf numFmtId="0" fontId="2" fillId="4" borderId="10" xfId="0" applyFont="1" applyFill="1" applyBorder="1" applyAlignment="1">
      <alignment horizontal="center"/>
    </xf>
    <xf numFmtId="0" fontId="7" fillId="0" borderId="11" xfId="0" applyFont="1" applyBorder="1"/>
    <xf numFmtId="0" fontId="1" fillId="6" borderId="10" xfId="0" applyFont="1" applyFill="1" applyBorder="1" applyAlignment="1">
      <alignment horizontal="center"/>
    </xf>
    <xf numFmtId="0" fontId="7" fillId="0" borderId="12" xfId="0" applyFont="1" applyBorder="1"/>
    <xf numFmtId="165" fontId="19" fillId="0" borderId="0" xfId="0" applyNumberFormat="1" applyFont="1"/>
    <xf numFmtId="165" fontId="19" fillId="0" borderId="17" xfId="0" applyNumberFormat="1" applyFont="1" applyBorder="1"/>
    <xf numFmtId="167" fontId="20" fillId="0" borderId="0" xfId="1" applyNumberFormat="1" applyFont="1" applyBorder="1"/>
    <xf numFmtId="167" fontId="20" fillId="0" borderId="17" xfId="1" applyNumberFormat="1" applyFont="1" applyBorder="1"/>
    <xf numFmtId="9" fontId="21" fillId="0" borderId="17" xfId="0" applyNumberFormat="1" applyFont="1" applyBorder="1"/>
    <xf numFmtId="10" fontId="21" fillId="0" borderId="17" xfId="0" applyNumberFormat="1" applyFont="1" applyBorder="1"/>
    <xf numFmtId="167" fontId="20" fillId="0" borderId="26" xfId="1" applyNumberFormat="1" applyFont="1" applyBorder="1"/>
    <xf numFmtId="165" fontId="19" fillId="0" borderId="26" xfId="0" applyNumberFormat="1" applyFont="1" applyBorder="1"/>
    <xf numFmtId="165" fontId="19" fillId="0" borderId="27" xfId="0" applyNumberFormat="1" applyFont="1" applyBorder="1"/>
    <xf numFmtId="165" fontId="20" fillId="0" borderId="0" xfId="0" applyNumberFormat="1" applyFont="1"/>
    <xf numFmtId="165" fontId="20" fillId="0" borderId="17" xfId="0" applyNumberFormat="1" applyFont="1" applyBorder="1"/>
    <xf numFmtId="167" fontId="19" fillId="0" borderId="0" xfId="1" applyNumberFormat="1" applyFont="1"/>
    <xf numFmtId="168" fontId="19" fillId="0" borderId="0" xfId="2" applyNumberFormat="1" applyFont="1"/>
    <xf numFmtId="167" fontId="20" fillId="0" borderId="0" xfId="1" applyNumberFormat="1" applyFont="1"/>
    <xf numFmtId="0" fontId="0" fillId="0" borderId="0" xfId="0" applyBorder="1"/>
    <xf numFmtId="0" fontId="1" fillId="0" borderId="0" xfId="0" applyFont="1" applyBorder="1"/>
    <xf numFmtId="0" fontId="4" fillId="0" borderId="0" xfId="0" applyFont="1" applyBorder="1"/>
    <xf numFmtId="0" fontId="10" fillId="0" borderId="0" xfId="0" applyFont="1" applyBorder="1"/>
    <xf numFmtId="0" fontId="6" fillId="5" borderId="0" xfId="0" applyFont="1" applyFill="1" applyBorder="1"/>
    <xf numFmtId="165" fontId="1" fillId="0" borderId="0" xfId="0" applyNumberFormat="1" applyFont="1" applyBorder="1"/>
    <xf numFmtId="10" fontId="1" fillId="0" borderId="0" xfId="0" applyNumberFormat="1" applyFont="1" applyBorder="1"/>
    <xf numFmtId="10" fontId="0" fillId="0" borderId="0" xfId="0" applyNumberFormat="1" applyBorder="1"/>
    <xf numFmtId="171" fontId="1" fillId="0" borderId="0" xfId="0" applyNumberFormat="1" applyFont="1" applyBorder="1"/>
    <xf numFmtId="171" fontId="0" fillId="0" borderId="0" xfId="0" applyNumberFormat="1" applyBorder="1"/>
    <xf numFmtId="0" fontId="2" fillId="8" borderId="31" xfId="0" applyFont="1" applyFill="1" applyBorder="1"/>
    <xf numFmtId="170" fontId="1" fillId="0" borderId="2" xfId="0" applyNumberFormat="1" applyFont="1" applyBorder="1"/>
    <xf numFmtId="14" fontId="0" fillId="0" borderId="0" xfId="0" applyNumberFormat="1"/>
    <xf numFmtId="0" fontId="23" fillId="0" borderId="0" xfId="4" applyFont="1"/>
    <xf numFmtId="0" fontId="24" fillId="0" borderId="0" xfId="0" applyFont="1"/>
    <xf numFmtId="0" fontId="17" fillId="0" borderId="31" xfId="0" applyFont="1" applyBorder="1"/>
    <xf numFmtId="0" fontId="17" fillId="0" borderId="31" xfId="0" applyFont="1" applyBorder="1" applyAlignment="1">
      <alignment horizontal="right"/>
    </xf>
    <xf numFmtId="170" fontId="0" fillId="0" borderId="31" xfId="0" applyNumberFormat="1" applyBorder="1" applyAlignment="1">
      <alignment horizontal="right"/>
    </xf>
    <xf numFmtId="10" fontId="0" fillId="0" borderId="31" xfId="0" applyNumberFormat="1" applyBorder="1" applyAlignment="1">
      <alignment horizontal="right"/>
    </xf>
    <xf numFmtId="167" fontId="0" fillId="0" borderId="31" xfId="1" applyNumberFormat="1" applyFont="1" applyBorder="1" applyAlignment="1">
      <alignment horizontal="right"/>
    </xf>
    <xf numFmtId="0" fontId="25" fillId="0" borderId="0" xfId="0" applyFont="1"/>
    <xf numFmtId="167" fontId="0" fillId="0" borderId="31" xfId="1" applyNumberFormat="1" applyFont="1" applyBorder="1"/>
    <xf numFmtId="0" fontId="0" fillId="0" borderId="31" xfId="0" applyBorder="1"/>
    <xf numFmtId="0" fontId="0" fillId="0" borderId="22" xfId="0" applyBorder="1"/>
    <xf numFmtId="167" fontId="0" fillId="0" borderId="22" xfId="1" applyNumberFormat="1" applyFont="1" applyBorder="1"/>
    <xf numFmtId="0" fontId="15" fillId="0" borderId="32" xfId="0" applyFont="1" applyBorder="1"/>
    <xf numFmtId="167" fontId="15" fillId="0" borderId="32" xfId="1" applyNumberFormat="1" applyFont="1" applyBorder="1"/>
    <xf numFmtId="0" fontId="17" fillId="0" borderId="31" xfId="0" applyFont="1" applyFill="1" applyBorder="1" applyAlignment="1">
      <alignment horizontal="left" vertical="top" wrapText="1"/>
    </xf>
    <xf numFmtId="0" fontId="16" fillId="8" borderId="31" xfId="0" applyFont="1" applyFill="1" applyBorder="1"/>
    <xf numFmtId="0" fontId="26" fillId="0" borderId="0" xfId="0" applyFont="1"/>
  </cellXfs>
  <cellStyles count="5">
    <cellStyle name="Comma" xfId="2" builtinId="3"/>
    <cellStyle name="Currency" xfId="1" builtinId="4"/>
    <cellStyle name="Normal" xfId="0" builtinId="0"/>
    <cellStyle name="Normal 2" xfId="4" xr:uid="{4ABCC335-7D9F-448F-9408-A5BFF5FEEBAC}"/>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1EAC-D7D0-4F7F-83EF-45FBC01908A5}">
  <dimension ref="B1:J27"/>
  <sheetViews>
    <sheetView showGridLines="0" tabSelected="1" workbookViewId="0"/>
  </sheetViews>
  <sheetFormatPr defaultRowHeight="13.2" x14ac:dyDescent="0.25"/>
  <cols>
    <col min="1" max="1" width="0.88671875" customWidth="1"/>
    <col min="2" max="2" width="41" bestFit="1" customWidth="1"/>
    <col min="3" max="3" width="16.5546875" bestFit="1" customWidth="1"/>
    <col min="9" max="9" width="2.5546875" bestFit="1" customWidth="1"/>
  </cols>
  <sheetData>
    <row r="1" spans="2:10" x14ac:dyDescent="0.25">
      <c r="B1" s="31" t="s">
        <v>161</v>
      </c>
      <c r="I1" s="51" t="s">
        <v>184</v>
      </c>
      <c r="J1" s="147" t="s">
        <v>185</v>
      </c>
    </row>
    <row r="2" spans="2:10" x14ac:dyDescent="0.25">
      <c r="B2" s="51" t="s">
        <v>162</v>
      </c>
      <c r="C2" s="51" t="s">
        <v>25</v>
      </c>
    </row>
    <row r="3" spans="2:10" ht="13.8" x14ac:dyDescent="0.3">
      <c r="B3" s="131" t="s">
        <v>163</v>
      </c>
      <c r="C3" s="51" t="s">
        <v>164</v>
      </c>
    </row>
    <row r="4" spans="2:10" x14ac:dyDescent="0.25">
      <c r="B4" s="51" t="s">
        <v>165</v>
      </c>
      <c r="C4" s="51" t="s">
        <v>166</v>
      </c>
    </row>
    <row r="5" spans="2:10" x14ac:dyDescent="0.25">
      <c r="B5" s="51" t="s">
        <v>167</v>
      </c>
      <c r="C5" s="130">
        <v>45990</v>
      </c>
    </row>
    <row r="6" spans="2:10" x14ac:dyDescent="0.25">
      <c r="B6" s="51" t="s">
        <v>168</v>
      </c>
      <c r="C6" s="51" t="s">
        <v>169</v>
      </c>
    </row>
    <row r="8" spans="2:10" x14ac:dyDescent="0.25">
      <c r="B8" s="132" t="s">
        <v>177</v>
      </c>
    </row>
    <row r="9" spans="2:10" ht="4.2" customHeight="1" x14ac:dyDescent="0.25"/>
    <row r="10" spans="2:10" x14ac:dyDescent="0.25">
      <c r="B10" s="128" t="s">
        <v>170</v>
      </c>
      <c r="C10" s="128" t="s">
        <v>171</v>
      </c>
    </row>
    <row r="11" spans="2:10" x14ac:dyDescent="0.25">
      <c r="B11" s="133" t="s">
        <v>172</v>
      </c>
      <c r="C11" s="134" t="s">
        <v>173</v>
      </c>
    </row>
    <row r="12" spans="2:10" x14ac:dyDescent="0.25">
      <c r="B12" s="133" t="s">
        <v>0</v>
      </c>
      <c r="C12" s="135">
        <v>0.114216</v>
      </c>
    </row>
    <row r="13" spans="2:10" x14ac:dyDescent="0.25">
      <c r="B13" s="133" t="s">
        <v>174</v>
      </c>
      <c r="C13" s="136">
        <v>0.02</v>
      </c>
    </row>
    <row r="14" spans="2:10" x14ac:dyDescent="0.25">
      <c r="B14" s="133" t="s">
        <v>175</v>
      </c>
      <c r="C14" s="137">
        <v>5032490.7271874994</v>
      </c>
    </row>
    <row r="16" spans="2:10" x14ac:dyDescent="0.25">
      <c r="B16" s="138" t="s">
        <v>176</v>
      </c>
    </row>
    <row r="17" spans="2:3" x14ac:dyDescent="0.25">
      <c r="B17" s="128" t="s">
        <v>181</v>
      </c>
      <c r="C17" s="128" t="s">
        <v>171</v>
      </c>
    </row>
    <row r="18" spans="2:3" x14ac:dyDescent="0.25">
      <c r="B18" s="133" t="s">
        <v>180</v>
      </c>
      <c r="C18" s="139">
        <f>DCF!C19</f>
        <v>16892294.541299094</v>
      </c>
    </row>
    <row r="19" spans="2:3" x14ac:dyDescent="0.25">
      <c r="B19" s="140" t="s">
        <v>178</v>
      </c>
      <c r="C19" s="139">
        <f>DCF!C17</f>
        <v>31752570.746581882</v>
      </c>
    </row>
    <row r="20" spans="2:3" ht="13.8" thickBot="1" x14ac:dyDescent="0.3">
      <c r="B20" s="143" t="s">
        <v>179</v>
      </c>
      <c r="C20" s="144">
        <f>SUM(C18:C19)</f>
        <v>48644865.287880972</v>
      </c>
    </row>
    <row r="21" spans="2:3" ht="13.8" thickTop="1" x14ac:dyDescent="0.25">
      <c r="B21" s="141" t="s">
        <v>21</v>
      </c>
      <c r="C21" s="142">
        <f>DCF!C21</f>
        <v>-356320165.9975</v>
      </c>
    </row>
    <row r="22" spans="2:3" x14ac:dyDescent="0.25">
      <c r="B22" s="140" t="s">
        <v>46</v>
      </c>
      <c r="C22" s="139">
        <v>0</v>
      </c>
    </row>
    <row r="23" spans="2:3" ht="13.8" thickBot="1" x14ac:dyDescent="0.3">
      <c r="B23" s="143" t="s">
        <v>47</v>
      </c>
      <c r="C23" s="144">
        <f>C20-C21</f>
        <v>404965031.28538096</v>
      </c>
    </row>
    <row r="24" spans="2:3" ht="13.8" thickTop="1" x14ac:dyDescent="0.25"/>
    <row r="26" spans="2:3" x14ac:dyDescent="0.25">
      <c r="B26" s="146" t="s">
        <v>183</v>
      </c>
    </row>
    <row r="27" spans="2:3" ht="92.4" x14ac:dyDescent="0.25">
      <c r="B27" s="145" t="s">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616B-3B7F-464A-B65A-8909BC160814}">
  <dimension ref="B2:I72"/>
  <sheetViews>
    <sheetView showGridLines="0" zoomScale="80" zoomScaleNormal="80" workbookViewId="0">
      <pane xSplit="2" ySplit="2" topLeftCell="C21" activePane="bottomRight" state="frozen"/>
      <selection pane="topRight" activeCell="C1" sqref="C1"/>
      <selection pane="bottomLeft" activeCell="A3" sqref="A3"/>
      <selection pane="bottomRight" activeCell="B3" sqref="B3"/>
    </sheetView>
  </sheetViews>
  <sheetFormatPr defaultRowHeight="13.2" x14ac:dyDescent="0.25"/>
  <cols>
    <col min="1" max="1" width="0.88671875" customWidth="1"/>
    <col min="2" max="2" width="30.44140625" bestFit="1" customWidth="1"/>
    <col min="3" max="4" width="23.44140625" bestFit="1" customWidth="1"/>
    <col min="5" max="6" width="23.33203125" bestFit="1" customWidth="1"/>
    <col min="7" max="7" width="23.44140625" bestFit="1" customWidth="1"/>
    <col min="8" max="8" width="23.33203125" bestFit="1" customWidth="1"/>
    <col min="9" max="9" width="23" bestFit="1" customWidth="1"/>
  </cols>
  <sheetData>
    <row r="2" spans="2:9" x14ac:dyDescent="0.25">
      <c r="C2" s="31" t="s">
        <v>27</v>
      </c>
      <c r="D2" s="31" t="s">
        <v>28</v>
      </c>
      <c r="E2" s="31" t="s">
        <v>29</v>
      </c>
      <c r="F2" s="31" t="s">
        <v>30</v>
      </c>
      <c r="G2" s="31" t="s">
        <v>31</v>
      </c>
      <c r="H2" s="31" t="s">
        <v>32</v>
      </c>
      <c r="I2" s="31" t="s">
        <v>94</v>
      </c>
    </row>
    <row r="3" spans="2:9" x14ac:dyDescent="0.25">
      <c r="B3" s="31" t="s">
        <v>121</v>
      </c>
      <c r="C3" s="58"/>
      <c r="D3" s="58"/>
      <c r="E3" s="58"/>
      <c r="F3" s="58"/>
      <c r="G3" s="58"/>
      <c r="H3" s="58"/>
      <c r="I3" s="58"/>
    </row>
    <row r="4" spans="2:9" x14ac:dyDescent="0.25">
      <c r="B4" s="51" t="s">
        <v>33</v>
      </c>
      <c r="C4" s="113">
        <f>Assumptions!$C$2</f>
        <v>100000000</v>
      </c>
      <c r="D4" s="113">
        <f>C4+(C4*Assumptions!$C$3)</f>
        <v>105000000</v>
      </c>
      <c r="E4" s="113">
        <f>D4+(D4*Assumptions!$C$3)</f>
        <v>110250000</v>
      </c>
      <c r="F4" s="113">
        <f>E4+(E4*Assumptions!$C$3)</f>
        <v>115762500</v>
      </c>
      <c r="G4" s="113">
        <f>F4+(F4*Assumptions!$C$3)</f>
        <v>121550625</v>
      </c>
      <c r="H4" s="113">
        <f>G4+(G4*Assumptions!$C$3)</f>
        <v>127628156.25</v>
      </c>
      <c r="I4" s="113">
        <f>H4+(H4*Assumptions!$C$3)</f>
        <v>134009564.0625</v>
      </c>
    </row>
    <row r="5" spans="2:9" ht="6" customHeight="1" x14ac:dyDescent="0.25"/>
    <row r="6" spans="2:9" x14ac:dyDescent="0.25">
      <c r="B6" s="49" t="s">
        <v>122</v>
      </c>
    </row>
    <row r="7" spans="2:9" x14ac:dyDescent="0.25">
      <c r="B7" s="51" t="s">
        <v>34</v>
      </c>
      <c r="C7" s="104">
        <f>'Claims &amp; Reserve Modeling'!C26</f>
        <v>28000000</v>
      </c>
      <c r="D7" s="104">
        <f>'Claims &amp; Reserve Modeling'!D26</f>
        <v>57400000</v>
      </c>
      <c r="E7" s="104">
        <f>'Claims &amp; Reserve Modeling'!E26</f>
        <v>74270000</v>
      </c>
      <c r="F7" s="104">
        <f>'Claims &amp; Reserve Modeling'!F26</f>
        <v>77983500</v>
      </c>
      <c r="G7" s="104">
        <f>'Claims &amp; Reserve Modeling'!G26</f>
        <v>81882675</v>
      </c>
      <c r="H7" s="104">
        <f>'Claims &amp; Reserve Modeling'!H26</f>
        <v>85976808.75</v>
      </c>
      <c r="I7" s="104">
        <f>'Claims &amp; Reserve Modeling'!I26</f>
        <v>90275649.1875</v>
      </c>
    </row>
    <row r="8" spans="2:9" ht="4.2" customHeight="1" x14ac:dyDescent="0.25"/>
    <row r="9" spans="2:9" x14ac:dyDescent="0.25">
      <c r="B9" t="s">
        <v>35</v>
      </c>
      <c r="C9" s="113">
        <f>C4*Assumptions!$C$5</f>
        <v>25000000</v>
      </c>
      <c r="D9" s="113">
        <f>D4*Assumptions!$C$5</f>
        <v>26250000</v>
      </c>
      <c r="E9" s="113">
        <f>E4*Assumptions!$C$5</f>
        <v>27562500</v>
      </c>
      <c r="F9" s="113">
        <f>F4*Assumptions!$C$5</f>
        <v>28940625</v>
      </c>
      <c r="G9" s="113">
        <f>G4*Assumptions!$C$5</f>
        <v>30387656.25</v>
      </c>
      <c r="H9" s="113">
        <f>H4*Assumptions!$C$5</f>
        <v>31907039.0625</v>
      </c>
      <c r="I9" s="113">
        <f>I4*Assumptions!$C$5</f>
        <v>33502391.015625</v>
      </c>
    </row>
    <row r="10" spans="2:9" ht="3.6" customHeight="1" x14ac:dyDescent="0.25"/>
    <row r="11" spans="2:9" x14ac:dyDescent="0.25">
      <c r="B11" s="51" t="s">
        <v>123</v>
      </c>
      <c r="C11" s="104">
        <f>'Claims &amp; Reserve Modeling'!C28</f>
        <v>42000000</v>
      </c>
      <c r="D11" s="104">
        <f>'Claims &amp; Reserve Modeling'!D28</f>
        <v>16100000</v>
      </c>
      <c r="E11" s="104">
        <f>'Claims &amp; Reserve Modeling'!E28</f>
        <v>2905000</v>
      </c>
      <c r="F11" s="104">
        <f>'Claims &amp; Reserve Modeling'!F28</f>
        <v>3050250</v>
      </c>
      <c r="G11" s="104">
        <f>'Claims &amp; Reserve Modeling'!G28</f>
        <v>3202762.5</v>
      </c>
      <c r="H11" s="104">
        <f>'Claims &amp; Reserve Modeling'!H28</f>
        <v>3362900.625</v>
      </c>
      <c r="I11" s="104">
        <f>'Claims &amp; Reserve Modeling'!I28</f>
        <v>3531045.65625</v>
      </c>
    </row>
    <row r="12" spans="2:9" ht="3" customHeight="1" x14ac:dyDescent="0.25"/>
    <row r="13" spans="2:9" x14ac:dyDescent="0.25">
      <c r="B13" s="53" t="s">
        <v>36</v>
      </c>
      <c r="C13" s="56">
        <f>C4-C7-C9-C11</f>
        <v>5000000</v>
      </c>
      <c r="D13" s="56">
        <f t="shared" ref="D13:I13" si="0">D4-D7-D9-D11</f>
        <v>5250000</v>
      </c>
      <c r="E13" s="56">
        <f t="shared" si="0"/>
        <v>5512500</v>
      </c>
      <c r="F13" s="56">
        <f t="shared" si="0"/>
        <v>5788125</v>
      </c>
      <c r="G13" s="56">
        <f t="shared" si="0"/>
        <v>6077531.25</v>
      </c>
      <c r="H13" s="56">
        <f t="shared" si="0"/>
        <v>6381407.8125</v>
      </c>
      <c r="I13" s="57">
        <f t="shared" si="0"/>
        <v>6700478.203125</v>
      </c>
    </row>
    <row r="14" spans="2:9" ht="4.2" customHeight="1" x14ac:dyDescent="0.25"/>
    <row r="15" spans="2:9" x14ac:dyDescent="0.25">
      <c r="B15" s="51" t="s">
        <v>37</v>
      </c>
      <c r="C15" s="104">
        <f>'Claims &amp; Reserve Modeling'!C$29*Assumptions!$C$6</f>
        <v>840000</v>
      </c>
      <c r="D15" s="104">
        <f>'Claims &amp; Reserve Modeling'!D$29*Assumptions!$C$6</f>
        <v>2002000</v>
      </c>
      <c r="E15" s="104">
        <f>'Claims &amp; Reserve Modeling'!E$29*Assumptions!$C$6</f>
        <v>2382100</v>
      </c>
      <c r="F15" s="104">
        <f>'Claims &amp; Reserve Modeling'!F$29*Assumptions!$C$6</f>
        <v>2501205</v>
      </c>
      <c r="G15" s="104">
        <f>'Claims &amp; Reserve Modeling'!G$29*Assumptions!$C$6</f>
        <v>2626265.25</v>
      </c>
      <c r="H15" s="104">
        <f>'Claims &amp; Reserve Modeling'!H$29*Assumptions!$C$6</f>
        <v>2757578.5125000002</v>
      </c>
      <c r="I15" s="104">
        <f>'Claims &amp; Reserve Modeling'!I$29*Assumptions!$C$6</f>
        <v>2895457.4381249999</v>
      </c>
    </row>
    <row r="16" spans="2:9" ht="5.4" customHeight="1" x14ac:dyDescent="0.25"/>
    <row r="17" spans="2:9" x14ac:dyDescent="0.25">
      <c r="B17" s="53" t="s">
        <v>124</v>
      </c>
      <c r="C17" s="56">
        <f>C13+C15</f>
        <v>5840000</v>
      </c>
      <c r="D17" s="56">
        <f t="shared" ref="D17:I17" si="1">D13+D15</f>
        <v>7252000</v>
      </c>
      <c r="E17" s="56">
        <f t="shared" si="1"/>
        <v>7894600</v>
      </c>
      <c r="F17" s="56">
        <f t="shared" si="1"/>
        <v>8289330</v>
      </c>
      <c r="G17" s="56">
        <f t="shared" si="1"/>
        <v>8703796.5</v>
      </c>
      <c r="H17" s="56">
        <f t="shared" si="1"/>
        <v>9138986.3249999993</v>
      </c>
      <c r="I17" s="57">
        <f t="shared" si="1"/>
        <v>9595935.6412499994</v>
      </c>
    </row>
    <row r="18" spans="2:9" ht="4.8" customHeight="1" x14ac:dyDescent="0.25"/>
    <row r="19" spans="2:9" x14ac:dyDescent="0.25">
      <c r="B19" s="51" t="s">
        <v>119</v>
      </c>
      <c r="C19" s="104">
        <f>'Debt Schedule'!C3*6%</f>
        <v>900000</v>
      </c>
      <c r="D19" s="104">
        <f>'Debt Schedule'!D3*6%</f>
        <v>900000</v>
      </c>
      <c r="E19" s="104">
        <f>'Debt Schedule'!E3*6%</f>
        <v>795000</v>
      </c>
      <c r="F19" s="104">
        <f>'Debt Schedule'!F3*6%</f>
        <v>684750</v>
      </c>
      <c r="G19" s="104">
        <f>'Debt Schedule'!G3*6%</f>
        <v>568987.5</v>
      </c>
      <c r="H19" s="104">
        <f>'Debt Schedule'!H3*6%</f>
        <v>447436.875</v>
      </c>
      <c r="I19" s="104">
        <f>'Debt Schedule'!I3*6%</f>
        <v>319808.71875</v>
      </c>
    </row>
    <row r="20" spans="2:9" ht="3.6" customHeight="1" x14ac:dyDescent="0.25"/>
    <row r="21" spans="2:9" x14ac:dyDescent="0.25">
      <c r="B21" s="53" t="s">
        <v>125</v>
      </c>
      <c r="C21" s="56">
        <f>C17-C19</f>
        <v>4940000</v>
      </c>
      <c r="D21" s="56">
        <f t="shared" ref="D21:I21" si="2">D17-D19</f>
        <v>6352000</v>
      </c>
      <c r="E21" s="56">
        <f t="shared" si="2"/>
        <v>7099600</v>
      </c>
      <c r="F21" s="56">
        <f t="shared" si="2"/>
        <v>7604580</v>
      </c>
      <c r="G21" s="56">
        <f t="shared" si="2"/>
        <v>8134809</v>
      </c>
      <c r="H21" s="56">
        <f t="shared" si="2"/>
        <v>8691549.4499999993</v>
      </c>
      <c r="I21" s="57">
        <f t="shared" si="2"/>
        <v>9276126.9224999994</v>
      </c>
    </row>
    <row r="22" spans="2:9" ht="4.8" customHeight="1" x14ac:dyDescent="0.25"/>
    <row r="23" spans="2:9" x14ac:dyDescent="0.25">
      <c r="B23" s="51" t="s">
        <v>126</v>
      </c>
      <c r="C23" s="113">
        <f>C21*Assumptions!$C$27</f>
        <v>1235000</v>
      </c>
      <c r="D23" s="113">
        <f>D21*Assumptions!$C$27</f>
        <v>1588000</v>
      </c>
      <c r="E23" s="113">
        <f>E21*Assumptions!$C$27</f>
        <v>1774900</v>
      </c>
      <c r="F23" s="113">
        <f>F21*Assumptions!$C$27</f>
        <v>1901145</v>
      </c>
      <c r="G23" s="113">
        <f>G21*Assumptions!$C$27</f>
        <v>2033702.25</v>
      </c>
      <c r="H23" s="113">
        <f>H21*Assumptions!$C$27</f>
        <v>2172887.3624999998</v>
      </c>
      <c r="I23" s="113">
        <f>I21*Assumptions!$C$27</f>
        <v>2319031.7306249999</v>
      </c>
    </row>
    <row r="24" spans="2:9" ht="3" customHeight="1" x14ac:dyDescent="0.25"/>
    <row r="25" spans="2:9" x14ac:dyDescent="0.25">
      <c r="B25" s="53" t="s">
        <v>127</v>
      </c>
      <c r="C25" s="56">
        <f>C21-C23</f>
        <v>3705000</v>
      </c>
      <c r="D25" s="56">
        <f t="shared" ref="D25:I25" si="3">D21-D23</f>
        <v>4764000</v>
      </c>
      <c r="E25" s="56">
        <f t="shared" si="3"/>
        <v>5324700</v>
      </c>
      <c r="F25" s="56">
        <f t="shared" si="3"/>
        <v>5703435</v>
      </c>
      <c r="G25" s="56">
        <f t="shared" si="3"/>
        <v>6101106.75</v>
      </c>
      <c r="H25" s="56">
        <f t="shared" si="3"/>
        <v>6518662.0874999994</v>
      </c>
      <c r="I25" s="57">
        <f t="shared" si="3"/>
        <v>6957095.1918749996</v>
      </c>
    </row>
    <row r="26" spans="2:9" x14ac:dyDescent="0.25">
      <c r="B26" s="49"/>
      <c r="C26" s="55"/>
      <c r="D26" s="55"/>
      <c r="E26" s="55"/>
      <c r="F26" s="55"/>
      <c r="G26" s="55"/>
      <c r="H26" s="55"/>
      <c r="I26" s="55"/>
    </row>
    <row r="28" spans="2:9" x14ac:dyDescent="0.25">
      <c r="B28" s="31" t="s">
        <v>93</v>
      </c>
    </row>
    <row r="29" spans="2:9" x14ac:dyDescent="0.25">
      <c r="B29" s="49" t="s">
        <v>86</v>
      </c>
    </row>
    <row r="30" spans="2:9" x14ac:dyDescent="0.25">
      <c r="B30" t="s">
        <v>87</v>
      </c>
      <c r="C30" s="117">
        <f>Assumptions!$C$12+C4-C7+C15</f>
        <v>97840000</v>
      </c>
      <c r="D30" s="59">
        <f>C30+D4-D7+D15</f>
        <v>147442000</v>
      </c>
      <c r="E30" s="59">
        <f t="shared" ref="E30:I30" si="4">D30+E4-E7+E15</f>
        <v>185804100</v>
      </c>
      <c r="F30" s="59">
        <f t="shared" si="4"/>
        <v>226084305</v>
      </c>
      <c r="G30" s="59">
        <f t="shared" si="4"/>
        <v>268378520.25</v>
      </c>
      <c r="H30" s="59">
        <f t="shared" si="4"/>
        <v>312787446.26249999</v>
      </c>
      <c r="I30" s="59">
        <f t="shared" si="4"/>
        <v>359416818.575625</v>
      </c>
    </row>
    <row r="31" spans="2:9" x14ac:dyDescent="0.25">
      <c r="B31" t="s">
        <v>88</v>
      </c>
      <c r="C31" s="115">
        <f>'Claims &amp; Reserve Modeling'!C27</f>
        <v>42000000</v>
      </c>
      <c r="D31" s="115">
        <f>'Claims &amp; Reserve Modeling'!D27</f>
        <v>58100000</v>
      </c>
      <c r="E31" s="115">
        <f>'Claims &amp; Reserve Modeling'!E27</f>
        <v>61005000</v>
      </c>
      <c r="F31" s="115">
        <f>'Claims &amp; Reserve Modeling'!F27</f>
        <v>64055250</v>
      </c>
      <c r="G31" s="115">
        <f>'Claims &amp; Reserve Modeling'!G27</f>
        <v>67258012.5</v>
      </c>
      <c r="H31" s="115">
        <f>'Claims &amp; Reserve Modeling'!H27</f>
        <v>70620913.125</v>
      </c>
      <c r="I31" s="115">
        <f>'Claims &amp; Reserve Modeling'!I27</f>
        <v>74151958.78125</v>
      </c>
    </row>
    <row r="32" spans="2:9" x14ac:dyDescent="0.25">
      <c r="B32" s="51" t="s">
        <v>96</v>
      </c>
      <c r="C32" s="59">
        <f>C61</f>
        <v>1500000</v>
      </c>
      <c r="D32" s="59">
        <f t="shared" ref="D32:I32" si="5">D61</f>
        <v>1575000</v>
      </c>
      <c r="E32" s="59">
        <f t="shared" si="5"/>
        <v>1653750</v>
      </c>
      <c r="F32" s="59">
        <f t="shared" si="5"/>
        <v>1736437.5</v>
      </c>
      <c r="G32" s="59">
        <f t="shared" si="5"/>
        <v>1823259.375</v>
      </c>
      <c r="H32" s="59">
        <f t="shared" si="5"/>
        <v>1914422.34375</v>
      </c>
      <c r="I32" s="59">
        <f t="shared" si="5"/>
        <v>2010143.4609375</v>
      </c>
    </row>
    <row r="33" spans="2:9" x14ac:dyDescent="0.25">
      <c r="B33" s="53" t="s">
        <v>95</v>
      </c>
      <c r="C33" s="60">
        <f>SUM(C30:C32)</f>
        <v>141340000</v>
      </c>
      <c r="D33" s="60">
        <f t="shared" ref="D33:I33" si="6">SUM(D30:D32)</f>
        <v>207117000</v>
      </c>
      <c r="E33" s="60">
        <f t="shared" si="6"/>
        <v>248462850</v>
      </c>
      <c r="F33" s="60">
        <f t="shared" si="6"/>
        <v>291875992.5</v>
      </c>
      <c r="G33" s="60">
        <f t="shared" si="6"/>
        <v>337459792.125</v>
      </c>
      <c r="H33" s="60">
        <f t="shared" si="6"/>
        <v>385322781.73124999</v>
      </c>
      <c r="I33" s="61">
        <f t="shared" si="6"/>
        <v>435578920.8178125</v>
      </c>
    </row>
    <row r="35" spans="2:9" x14ac:dyDescent="0.25">
      <c r="B35" s="49" t="s">
        <v>89</v>
      </c>
    </row>
    <row r="36" spans="2:9" x14ac:dyDescent="0.25">
      <c r="B36" t="s">
        <v>90</v>
      </c>
      <c r="C36" s="115">
        <f>'Claims &amp; Reserve Modeling'!C27</f>
        <v>42000000</v>
      </c>
      <c r="D36" s="115">
        <f>'Claims &amp; Reserve Modeling'!D27</f>
        <v>58100000</v>
      </c>
      <c r="E36" s="115">
        <f>'Claims &amp; Reserve Modeling'!E27</f>
        <v>61005000</v>
      </c>
      <c r="F36" s="115">
        <f>'Claims &amp; Reserve Modeling'!F27</f>
        <v>64055250</v>
      </c>
      <c r="G36" s="115">
        <f>'Claims &amp; Reserve Modeling'!G27</f>
        <v>67258012.5</v>
      </c>
      <c r="H36" s="115">
        <f>'Claims &amp; Reserve Modeling'!H27</f>
        <v>70620913.125</v>
      </c>
      <c r="I36" s="115">
        <f>'Claims &amp; Reserve Modeling'!I27</f>
        <v>74151958.78125</v>
      </c>
    </row>
    <row r="37" spans="2:9" x14ac:dyDescent="0.25">
      <c r="B37" s="51" t="s">
        <v>17</v>
      </c>
      <c r="C37" s="115">
        <f>'Debt Schedule'!C6</f>
        <v>15000000</v>
      </c>
      <c r="D37" s="115">
        <f>'Debt Schedule'!D6</f>
        <v>13250000</v>
      </c>
      <c r="E37" s="115">
        <f>'Debt Schedule'!E6</f>
        <v>11412500</v>
      </c>
      <c r="F37" s="115">
        <f>'Debt Schedule'!F6</f>
        <v>9483125</v>
      </c>
      <c r="G37" s="115">
        <f>'Debt Schedule'!G6</f>
        <v>7457281.25</v>
      </c>
      <c r="H37" s="115">
        <f>'Debt Schedule'!H6</f>
        <v>5330145.3125</v>
      </c>
      <c r="I37" s="115">
        <f>'Debt Schedule'!I6</f>
        <v>3096652.578125</v>
      </c>
    </row>
    <row r="38" spans="2:9" x14ac:dyDescent="0.25">
      <c r="B38" t="s">
        <v>91</v>
      </c>
      <c r="C38" s="59"/>
      <c r="D38" s="59"/>
      <c r="E38" s="59"/>
      <c r="F38" s="59"/>
      <c r="G38" s="59"/>
      <c r="H38" s="59"/>
      <c r="I38" s="59"/>
    </row>
    <row r="39" spans="2:9" x14ac:dyDescent="0.25">
      <c r="B39" s="53" t="s">
        <v>97</v>
      </c>
      <c r="C39" s="60">
        <f>SUM(C36:C38)</f>
        <v>57000000</v>
      </c>
      <c r="D39" s="60">
        <f t="shared" ref="D39:I39" si="7">SUM(D36:D38)</f>
        <v>71350000</v>
      </c>
      <c r="E39" s="60">
        <f t="shared" si="7"/>
        <v>72417500</v>
      </c>
      <c r="F39" s="60">
        <f t="shared" si="7"/>
        <v>73538375</v>
      </c>
      <c r="G39" s="60">
        <f t="shared" si="7"/>
        <v>74715293.75</v>
      </c>
      <c r="H39" s="60">
        <f t="shared" si="7"/>
        <v>75951058.4375</v>
      </c>
      <c r="I39" s="61">
        <f t="shared" si="7"/>
        <v>77248611.359375</v>
      </c>
    </row>
    <row r="40" spans="2:9" x14ac:dyDescent="0.25">
      <c r="B40" s="51"/>
    </row>
    <row r="41" spans="2:9" x14ac:dyDescent="0.25">
      <c r="B41" s="49" t="s">
        <v>4</v>
      </c>
    </row>
    <row r="42" spans="2:9" x14ac:dyDescent="0.25">
      <c r="B42" t="s">
        <v>92</v>
      </c>
      <c r="C42" s="59">
        <f>C33-C39</f>
        <v>84340000</v>
      </c>
      <c r="D42" s="59">
        <f t="shared" ref="D42:I42" si="8">D33-D39</f>
        <v>135767000</v>
      </c>
      <c r="E42" s="59">
        <f t="shared" si="8"/>
        <v>176045350</v>
      </c>
      <c r="F42" s="59">
        <f t="shared" si="8"/>
        <v>218337617.5</v>
      </c>
      <c r="G42" s="59">
        <f t="shared" si="8"/>
        <v>262744498.375</v>
      </c>
      <c r="H42" s="59">
        <f t="shared" si="8"/>
        <v>309371723.29374999</v>
      </c>
      <c r="I42" s="59">
        <f t="shared" si="8"/>
        <v>358330309.4584375</v>
      </c>
    </row>
    <row r="44" spans="2:9" ht="10.199999999999999" customHeight="1" x14ac:dyDescent="0.25">
      <c r="B44" s="54" t="s">
        <v>98</v>
      </c>
      <c r="C44" s="54" t="b">
        <f>C33=(C39+C42)</f>
        <v>1</v>
      </c>
      <c r="D44" s="54" t="b">
        <f t="shared" ref="D44:I44" si="9">D33=(D39+D42)</f>
        <v>1</v>
      </c>
      <c r="E44" s="54" t="b">
        <f t="shared" si="9"/>
        <v>1</v>
      </c>
      <c r="F44" s="54" t="b">
        <f t="shared" si="9"/>
        <v>1</v>
      </c>
      <c r="G44" s="54" t="b">
        <f t="shared" si="9"/>
        <v>1</v>
      </c>
      <c r="H44" s="54" t="b">
        <f t="shared" si="9"/>
        <v>1</v>
      </c>
      <c r="I44" s="54" t="b">
        <f t="shared" si="9"/>
        <v>1</v>
      </c>
    </row>
    <row r="45" spans="2:9" x14ac:dyDescent="0.25">
      <c r="B45" s="51" t="s">
        <v>4</v>
      </c>
      <c r="C45" s="52">
        <f>C42/C33</f>
        <v>0.59671713598415166</v>
      </c>
      <c r="D45" s="52">
        <f t="shared" ref="D45:I45" si="10">D42/D33</f>
        <v>0.6555087221232444</v>
      </c>
      <c r="E45" s="52">
        <f t="shared" si="10"/>
        <v>0.70853791623174245</v>
      </c>
      <c r="F45" s="52">
        <f t="shared" si="10"/>
        <v>0.74804925074473194</v>
      </c>
      <c r="G45" s="52">
        <f t="shared" si="10"/>
        <v>0.77859497488718787</v>
      </c>
      <c r="H45" s="52">
        <f t="shared" si="10"/>
        <v>0.80288977958621355</v>
      </c>
      <c r="I45" s="52">
        <f t="shared" si="10"/>
        <v>0.82265300806031105</v>
      </c>
    </row>
    <row r="46" spans="2:9" x14ac:dyDescent="0.25">
      <c r="B46" s="51" t="s">
        <v>17</v>
      </c>
      <c r="C46" s="52">
        <f>C37/C33</f>
        <v>0.10612706947785482</v>
      </c>
      <c r="D46" s="52">
        <f t="shared" ref="D46:I46" si="11">D39/D33</f>
        <v>0.34449127787675565</v>
      </c>
      <c r="E46" s="52">
        <f t="shared" si="11"/>
        <v>0.2914620837682575</v>
      </c>
      <c r="F46" s="52">
        <f t="shared" si="11"/>
        <v>0.25195074925526806</v>
      </c>
      <c r="G46" s="52">
        <f t="shared" si="11"/>
        <v>0.22140502511281218</v>
      </c>
      <c r="H46" s="52">
        <f t="shared" si="11"/>
        <v>0.19711022041378642</v>
      </c>
      <c r="I46" s="52">
        <f t="shared" si="11"/>
        <v>0.17734699193968895</v>
      </c>
    </row>
    <row r="47" spans="2:9" x14ac:dyDescent="0.25">
      <c r="B47" s="51" t="s">
        <v>90</v>
      </c>
      <c r="C47" s="52">
        <f>C36/C33</f>
        <v>0.29715579453799351</v>
      </c>
      <c r="D47" s="52">
        <f t="shared" ref="D47:I47" si="12">D36/D33</f>
        <v>0.28051777497742819</v>
      </c>
      <c r="E47" s="52">
        <f t="shared" si="12"/>
        <v>0.24552966369016535</v>
      </c>
      <c r="F47" s="52">
        <f t="shared" si="12"/>
        <v>0.21946049571034865</v>
      </c>
      <c r="G47" s="52">
        <f t="shared" si="12"/>
        <v>0.19930674429825601</v>
      </c>
      <c r="H47" s="52">
        <f t="shared" si="12"/>
        <v>0.18327728458644776</v>
      </c>
      <c r="I47" s="52">
        <f t="shared" si="12"/>
        <v>0.1702377117837279</v>
      </c>
    </row>
    <row r="48" spans="2:9" x14ac:dyDescent="0.25">
      <c r="B48" s="51"/>
      <c r="C48" s="52"/>
      <c r="D48" s="52"/>
      <c r="E48" s="52"/>
      <c r="F48" s="52"/>
      <c r="G48" s="52"/>
      <c r="H48" s="52"/>
      <c r="I48" s="52"/>
    </row>
    <row r="50" spans="2:9" x14ac:dyDescent="0.25">
      <c r="B50" s="31" t="s">
        <v>108</v>
      </c>
    </row>
    <row r="51" spans="2:9" x14ac:dyDescent="0.25">
      <c r="B51" s="49" t="s">
        <v>109</v>
      </c>
    </row>
    <row r="52" spans="2:9" x14ac:dyDescent="0.25">
      <c r="B52" s="51" t="s">
        <v>33</v>
      </c>
      <c r="C52" s="62">
        <f>C4</f>
        <v>100000000</v>
      </c>
      <c r="D52" s="62">
        <f t="shared" ref="D52:I52" si="13">D4</f>
        <v>105000000</v>
      </c>
      <c r="E52" s="62">
        <f t="shared" si="13"/>
        <v>110250000</v>
      </c>
      <c r="F52" s="62">
        <f t="shared" si="13"/>
        <v>115762500</v>
      </c>
      <c r="G52" s="62">
        <f t="shared" si="13"/>
        <v>121550625</v>
      </c>
      <c r="H52" s="62">
        <f t="shared" si="13"/>
        <v>127628156.25</v>
      </c>
      <c r="I52" s="62">
        <f t="shared" si="13"/>
        <v>134009564.0625</v>
      </c>
    </row>
    <row r="53" spans="2:9" x14ac:dyDescent="0.25">
      <c r="B53" s="51" t="s">
        <v>34</v>
      </c>
      <c r="C53" s="116">
        <f>'Claims &amp; Reserve Modeling'!C26</f>
        <v>28000000</v>
      </c>
      <c r="D53" s="116">
        <f>'Claims &amp; Reserve Modeling'!D26</f>
        <v>57400000</v>
      </c>
      <c r="E53" s="116">
        <f>'Claims &amp; Reserve Modeling'!E26</f>
        <v>74270000</v>
      </c>
      <c r="F53" s="116">
        <f>'Claims &amp; Reserve Modeling'!F26</f>
        <v>77983500</v>
      </c>
      <c r="G53" s="116">
        <f>'Claims &amp; Reserve Modeling'!G26</f>
        <v>81882675</v>
      </c>
      <c r="H53" s="116">
        <f>'Claims &amp; Reserve Modeling'!H26</f>
        <v>85976808.75</v>
      </c>
      <c r="I53" s="116">
        <f>'Claims &amp; Reserve Modeling'!I26</f>
        <v>90275649.1875</v>
      </c>
    </row>
    <row r="54" spans="2:9" x14ac:dyDescent="0.25">
      <c r="B54" s="51" t="s">
        <v>110</v>
      </c>
      <c r="C54" s="62">
        <f>C9</f>
        <v>25000000</v>
      </c>
      <c r="D54" s="62">
        <f t="shared" ref="D54:I54" si="14">D9</f>
        <v>26250000</v>
      </c>
      <c r="E54" s="62">
        <f t="shared" si="14"/>
        <v>27562500</v>
      </c>
      <c r="F54" s="62">
        <f t="shared" si="14"/>
        <v>28940625</v>
      </c>
      <c r="G54" s="62">
        <f t="shared" si="14"/>
        <v>30387656.25</v>
      </c>
      <c r="H54" s="62">
        <f t="shared" si="14"/>
        <v>31907039.0625</v>
      </c>
      <c r="I54" s="62">
        <f t="shared" si="14"/>
        <v>33502391.015625</v>
      </c>
    </row>
    <row r="55" spans="2:9" x14ac:dyDescent="0.25">
      <c r="B55" s="51" t="s">
        <v>37</v>
      </c>
      <c r="C55" s="62">
        <f>C15</f>
        <v>840000</v>
      </c>
      <c r="D55" s="62">
        <f t="shared" ref="D55:I55" si="15">D15</f>
        <v>2002000</v>
      </c>
      <c r="E55" s="62">
        <f t="shared" si="15"/>
        <v>2382100</v>
      </c>
      <c r="F55" s="62">
        <f t="shared" si="15"/>
        <v>2501205</v>
      </c>
      <c r="G55" s="62">
        <f t="shared" si="15"/>
        <v>2626265.25</v>
      </c>
      <c r="H55" s="62">
        <f t="shared" si="15"/>
        <v>2757578.5125000002</v>
      </c>
      <c r="I55" s="62">
        <f t="shared" si="15"/>
        <v>2895457.4381249999</v>
      </c>
    </row>
    <row r="56" spans="2:9" x14ac:dyDescent="0.25">
      <c r="B56" s="51" t="s">
        <v>84</v>
      </c>
      <c r="C56" s="116">
        <f>'Claims &amp; Reserve Modeling'!C28</f>
        <v>42000000</v>
      </c>
      <c r="D56" s="116">
        <f>'Claims &amp; Reserve Modeling'!D28</f>
        <v>16100000</v>
      </c>
      <c r="E56" s="116">
        <f>'Claims &amp; Reserve Modeling'!E28</f>
        <v>2905000</v>
      </c>
      <c r="F56" s="116">
        <f>'Claims &amp; Reserve Modeling'!F28</f>
        <v>3050250</v>
      </c>
      <c r="G56" s="116">
        <f>'Claims &amp; Reserve Modeling'!G28</f>
        <v>3202762.5</v>
      </c>
      <c r="H56" s="116">
        <f>'Claims &amp; Reserve Modeling'!H28</f>
        <v>3362900.625</v>
      </c>
      <c r="I56" s="116">
        <f>'Claims &amp; Reserve Modeling'!I28</f>
        <v>3531045.65625</v>
      </c>
    </row>
    <row r="58" spans="2:9" x14ac:dyDescent="0.25">
      <c r="B58" s="49" t="s">
        <v>111</v>
      </c>
      <c r="C58" s="63">
        <f>C52-C53-C54+C55-C56</f>
        <v>5840000</v>
      </c>
      <c r="D58" s="63">
        <f t="shared" ref="D58:I58" si="16">D52-D53-D54+D55-D56</f>
        <v>7252000</v>
      </c>
      <c r="E58" s="63">
        <f t="shared" si="16"/>
        <v>7894600</v>
      </c>
      <c r="F58" s="63">
        <f t="shared" si="16"/>
        <v>8289330</v>
      </c>
      <c r="G58" s="63">
        <f t="shared" si="16"/>
        <v>8703796.5</v>
      </c>
      <c r="H58" s="63">
        <f t="shared" si="16"/>
        <v>9138986.3249999993</v>
      </c>
      <c r="I58" s="63">
        <f t="shared" si="16"/>
        <v>9595935.6412499994</v>
      </c>
    </row>
    <row r="60" spans="2:9" x14ac:dyDescent="0.25">
      <c r="B60" s="49" t="s">
        <v>112</v>
      </c>
    </row>
    <row r="61" spans="2:9" x14ac:dyDescent="0.25">
      <c r="B61" s="51" t="s">
        <v>113</v>
      </c>
      <c r="C61" s="113">
        <f>C4*Assumptions!$C$10</f>
        <v>1500000</v>
      </c>
      <c r="D61" s="113">
        <f>D4*Assumptions!$C$10</f>
        <v>1575000</v>
      </c>
      <c r="E61" s="113">
        <f>E4*Assumptions!$C$10</f>
        <v>1653750</v>
      </c>
      <c r="F61" s="113">
        <f>F4*Assumptions!$C$10</f>
        <v>1736437.5</v>
      </c>
      <c r="G61" s="113">
        <f>G4*Assumptions!$C$10</f>
        <v>1823259.375</v>
      </c>
      <c r="H61" s="113">
        <f>H4*Assumptions!$C$10</f>
        <v>1914422.34375</v>
      </c>
      <c r="I61" s="113">
        <f>I4*Assumptions!$C$10</f>
        <v>2010143.4609375</v>
      </c>
    </row>
    <row r="63" spans="2:9" x14ac:dyDescent="0.25">
      <c r="B63" s="49" t="s">
        <v>114</v>
      </c>
      <c r="C63" s="64">
        <f>+-C61</f>
        <v>-1500000</v>
      </c>
      <c r="D63" s="64">
        <f t="shared" ref="D63:I63" si="17">+-D61</f>
        <v>-1575000</v>
      </c>
      <c r="E63" s="64">
        <f t="shared" si="17"/>
        <v>-1653750</v>
      </c>
      <c r="F63" s="64">
        <f t="shared" si="17"/>
        <v>-1736437.5</v>
      </c>
      <c r="G63" s="64">
        <f t="shared" si="17"/>
        <v>-1823259.375</v>
      </c>
      <c r="H63" s="64">
        <f t="shared" si="17"/>
        <v>-1914422.34375</v>
      </c>
      <c r="I63" s="64">
        <f t="shared" si="17"/>
        <v>-2010143.4609375</v>
      </c>
    </row>
    <row r="65" spans="2:9" x14ac:dyDescent="0.25">
      <c r="B65" s="51" t="s">
        <v>115</v>
      </c>
    </row>
    <row r="66" spans="2:9" x14ac:dyDescent="0.25">
      <c r="B66" s="51" t="s">
        <v>116</v>
      </c>
      <c r="C66" s="115">
        <f>'Debt Schedule'!C4</f>
        <v>0</v>
      </c>
      <c r="D66" s="115">
        <f>'Debt Schedule'!D4</f>
        <v>750000</v>
      </c>
      <c r="E66" s="115">
        <f>'Debt Schedule'!E4</f>
        <v>662500</v>
      </c>
      <c r="F66" s="115">
        <f>'Debt Schedule'!F4</f>
        <v>570625</v>
      </c>
      <c r="G66" s="115">
        <f>'Debt Schedule'!G4</f>
        <v>474156.25</v>
      </c>
      <c r="H66" s="115">
        <f>'Debt Schedule'!H4</f>
        <v>372864.0625</v>
      </c>
      <c r="I66" s="115">
        <f>'Debt Schedule'!I4</f>
        <v>266507.265625</v>
      </c>
    </row>
    <row r="67" spans="2:9" x14ac:dyDescent="0.25">
      <c r="B67" s="51" t="s">
        <v>117</v>
      </c>
      <c r="C67" s="115">
        <f>'Debt Schedule'!C5</f>
        <v>0</v>
      </c>
      <c r="D67" s="115">
        <f>'Debt Schedule'!D5</f>
        <v>2500000</v>
      </c>
      <c r="E67" s="115">
        <f>'Debt Schedule'!E5</f>
        <v>2500000</v>
      </c>
      <c r="F67" s="115">
        <f>'Debt Schedule'!F5</f>
        <v>2500000</v>
      </c>
      <c r="G67" s="115">
        <f>'Debt Schedule'!G5</f>
        <v>2500000</v>
      </c>
      <c r="H67" s="115">
        <f>'Debt Schedule'!H5</f>
        <v>2500000</v>
      </c>
      <c r="I67" s="115">
        <f>'Debt Schedule'!I5</f>
        <v>2500000</v>
      </c>
    </row>
    <row r="68" spans="2:9" x14ac:dyDescent="0.25">
      <c r="B68" s="51" t="s">
        <v>118</v>
      </c>
      <c r="C68" s="115">
        <f>'Debt Schedule'!C4-'Debt Schedule'!C5</f>
        <v>0</v>
      </c>
      <c r="D68" s="115">
        <f>'Debt Schedule'!D4-'Debt Schedule'!D5</f>
        <v>-1750000</v>
      </c>
      <c r="E68" s="115">
        <f>'Debt Schedule'!E4-'Debt Schedule'!E5</f>
        <v>-1837500</v>
      </c>
      <c r="F68" s="115">
        <f>'Debt Schedule'!F4-'Debt Schedule'!F5</f>
        <v>-1929375</v>
      </c>
      <c r="G68" s="115">
        <f>'Debt Schedule'!G4-'Debt Schedule'!G5</f>
        <v>-2025843.75</v>
      </c>
      <c r="H68" s="115">
        <f>'Debt Schedule'!H4-'Debt Schedule'!H5</f>
        <v>-2127135.9375</v>
      </c>
      <c r="I68" s="115">
        <f>'Debt Schedule'!I4-'Debt Schedule'!I5</f>
        <v>-2233492.734375</v>
      </c>
    </row>
    <row r="69" spans="2:9" x14ac:dyDescent="0.25">
      <c r="B69" s="51" t="s">
        <v>119</v>
      </c>
      <c r="C69" s="59">
        <f>C19</f>
        <v>900000</v>
      </c>
      <c r="D69" s="59">
        <f t="shared" ref="D69:I69" si="18">D19</f>
        <v>900000</v>
      </c>
      <c r="E69" s="59">
        <f t="shared" si="18"/>
        <v>795000</v>
      </c>
      <c r="F69" s="59">
        <f t="shared" si="18"/>
        <v>684750</v>
      </c>
      <c r="G69" s="59">
        <f t="shared" si="18"/>
        <v>568987.5</v>
      </c>
      <c r="H69" s="59">
        <f t="shared" si="18"/>
        <v>447436.875</v>
      </c>
      <c r="I69" s="59">
        <f t="shared" si="18"/>
        <v>319808.71875</v>
      </c>
    </row>
    <row r="71" spans="2:9" x14ac:dyDescent="0.25">
      <c r="B71" s="49" t="s">
        <v>120</v>
      </c>
      <c r="C71" s="64">
        <f>C68-C69</f>
        <v>-900000</v>
      </c>
      <c r="D71" s="64">
        <f t="shared" ref="D71:I71" si="19">D68-D69</f>
        <v>-2650000</v>
      </c>
      <c r="E71" s="64">
        <f t="shared" si="19"/>
        <v>-2632500</v>
      </c>
      <c r="F71" s="64">
        <f t="shared" si="19"/>
        <v>-2614125</v>
      </c>
      <c r="G71" s="64">
        <f t="shared" si="19"/>
        <v>-2594831.25</v>
      </c>
      <c r="H71" s="64">
        <f t="shared" si="19"/>
        <v>-2574572.8125</v>
      </c>
      <c r="I71" s="64">
        <f t="shared" si="19"/>
        <v>-2553301.453125</v>
      </c>
    </row>
    <row r="72" spans="2:9" x14ac:dyDescent="0.25">
      <c r="B72" s="49" t="s">
        <v>39</v>
      </c>
      <c r="C72" s="64">
        <f>C58-C63+C71</f>
        <v>6440000</v>
      </c>
      <c r="D72" s="64">
        <f t="shared" ref="D72:I72" si="20">D58-D63+D71</f>
        <v>6177000</v>
      </c>
      <c r="E72" s="64">
        <f t="shared" si="20"/>
        <v>6915850</v>
      </c>
      <c r="F72" s="64">
        <f t="shared" si="20"/>
        <v>7411642.5</v>
      </c>
      <c r="G72" s="64">
        <f t="shared" si="20"/>
        <v>7932224.625</v>
      </c>
      <c r="H72" s="64">
        <f t="shared" si="20"/>
        <v>8478835.8562499993</v>
      </c>
      <c r="I72" s="64">
        <f t="shared" si="20"/>
        <v>9052777.6490624994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R32"/>
  <sheetViews>
    <sheetView showGridLines="0" zoomScale="80" zoomScaleNormal="80" workbookViewId="0">
      <pane xSplit="2" ySplit="4" topLeftCell="C5" activePane="bottomRight" state="frozen"/>
      <selection pane="topRight" activeCell="C1" sqref="C1"/>
      <selection pane="bottomLeft" activeCell="A5" sqref="A5"/>
      <selection pane="bottomRight" activeCell="C23" sqref="C23"/>
    </sheetView>
  </sheetViews>
  <sheetFormatPr defaultColWidth="12.6640625" defaultRowHeight="15.75" customHeight="1" x14ac:dyDescent="0.25"/>
  <cols>
    <col min="1" max="1" width="1.33203125" customWidth="1"/>
    <col min="2" max="2" width="23.33203125" bestFit="1" customWidth="1"/>
    <col min="3" max="3" width="12.77734375" bestFit="1" customWidth="1"/>
    <col min="4" max="8" width="12.44140625" bestFit="1" customWidth="1"/>
    <col min="9" max="9" width="10.109375" bestFit="1" customWidth="1"/>
    <col min="11" max="11" width="14.21875" bestFit="1" customWidth="1"/>
    <col min="12" max="12" width="13.77734375" bestFit="1" customWidth="1"/>
    <col min="13" max="16" width="15.109375" bestFit="1" customWidth="1"/>
  </cols>
  <sheetData>
    <row r="1" spans="2:18" ht="13.2" x14ac:dyDescent="0.25">
      <c r="B1" s="31" t="s">
        <v>25</v>
      </c>
      <c r="C1" s="32"/>
      <c r="D1" s="32"/>
      <c r="E1" s="32"/>
      <c r="F1" s="32"/>
      <c r="G1" s="32"/>
      <c r="H1" s="32"/>
      <c r="I1" s="32"/>
    </row>
    <row r="2" spans="2:18" ht="13.2" x14ac:dyDescent="0.25">
      <c r="B2" s="31" t="s">
        <v>26</v>
      </c>
      <c r="C2" s="32"/>
      <c r="D2" s="32"/>
      <c r="E2" s="32"/>
      <c r="F2" s="32"/>
      <c r="G2" s="32"/>
      <c r="H2" s="32"/>
      <c r="I2" s="32"/>
    </row>
    <row r="3" spans="2:18" ht="13.2" x14ac:dyDescent="0.25">
      <c r="D3" s="22">
        <v>1</v>
      </c>
      <c r="E3" s="22">
        <v>2</v>
      </c>
      <c r="F3" s="22">
        <v>3</v>
      </c>
      <c r="G3" s="22">
        <v>4</v>
      </c>
      <c r="H3" s="22">
        <v>5</v>
      </c>
      <c r="I3" s="22">
        <v>5</v>
      </c>
    </row>
    <row r="4" spans="2:18" ht="13.2" x14ac:dyDescent="0.25">
      <c r="C4" s="31" t="s">
        <v>27</v>
      </c>
      <c r="D4" s="31" t="s">
        <v>28</v>
      </c>
      <c r="E4" s="31" t="s">
        <v>29</v>
      </c>
      <c r="F4" s="31" t="s">
        <v>30</v>
      </c>
      <c r="G4" s="31" t="s">
        <v>31</v>
      </c>
      <c r="H4" s="31" t="s">
        <v>32</v>
      </c>
      <c r="I4" s="50" t="s">
        <v>94</v>
      </c>
    </row>
    <row r="5" spans="2:18" ht="4.8" customHeight="1" x14ac:dyDescent="0.25">
      <c r="K5" s="26"/>
    </row>
    <row r="6" spans="2:18" ht="13.2" x14ac:dyDescent="0.25">
      <c r="B6" s="26" t="s">
        <v>39</v>
      </c>
      <c r="C6" s="104">
        <f>Financials!C58-Financials!C61-Financials!C69+Financials!C68</f>
        <v>3440000</v>
      </c>
      <c r="D6" s="104">
        <f>Financials!D58-Financials!D61-Financials!D69+Financials!D68</f>
        <v>3027000</v>
      </c>
      <c r="E6" s="104">
        <f>Financials!E58-Financials!E61-Financials!E69+Financials!E68</f>
        <v>3608350</v>
      </c>
      <c r="F6" s="104">
        <f>Financials!F58-Financials!F61-Financials!F69+Financials!F68</f>
        <v>3938767.5</v>
      </c>
      <c r="G6" s="104">
        <f>Financials!G58-Financials!G61-Financials!G69+Financials!G68</f>
        <v>4285705.875</v>
      </c>
      <c r="H6" s="104">
        <f>Financials!H58-Financials!H61-Financials!H69+Financials!H68</f>
        <v>4649991.1687499993</v>
      </c>
      <c r="I6" s="104">
        <f>Financials!I58-Financials!I61-Financials!I69+Financials!I68</f>
        <v>5032490.7271874994</v>
      </c>
      <c r="K6" s="26"/>
    </row>
    <row r="7" spans="2:18" ht="9" customHeight="1" x14ac:dyDescent="0.25">
      <c r="K7" s="1"/>
      <c r="L7" s="1"/>
    </row>
    <row r="8" spans="2:18" ht="13.2" x14ac:dyDescent="0.25">
      <c r="B8" s="24" t="s">
        <v>40</v>
      </c>
      <c r="D8" s="25">
        <f t="shared" ref="D8:I8" si="0">1/(1+$C$14)^D3</f>
        <v>0.89753715803834277</v>
      </c>
      <c r="E8" s="25">
        <f t="shared" si="0"/>
        <v>0.8055729500595451</v>
      </c>
      <c r="F8" s="25">
        <f t="shared" si="0"/>
        <v>0.72303165618900789</v>
      </c>
      <c r="G8" s="25">
        <f t="shared" si="0"/>
        <v>0.64894777786763824</v>
      </c>
      <c r="H8" s="25">
        <f t="shared" si="0"/>
        <v>0.58245474426261779</v>
      </c>
      <c r="I8" s="25">
        <f t="shared" si="0"/>
        <v>0.58245474426261779</v>
      </c>
      <c r="J8" s="34"/>
      <c r="K8" s="1"/>
      <c r="L8" s="1"/>
      <c r="M8" s="34"/>
      <c r="N8" s="34"/>
      <c r="O8" s="34"/>
      <c r="P8" s="34"/>
      <c r="Q8" s="34"/>
      <c r="R8" s="34"/>
    </row>
    <row r="9" spans="2:18" ht="13.2" x14ac:dyDescent="0.25">
      <c r="J9" s="34"/>
      <c r="K9" s="120"/>
      <c r="L9" s="118"/>
      <c r="M9" s="121"/>
      <c r="N9" s="121"/>
      <c r="O9" s="121"/>
      <c r="P9" s="121"/>
      <c r="Q9" s="34"/>
      <c r="R9" s="34"/>
    </row>
    <row r="10" spans="2:18" ht="13.2" x14ac:dyDescent="0.25">
      <c r="B10" s="26" t="s">
        <v>41</v>
      </c>
      <c r="D10" s="23">
        <f t="shared" ref="D10:H10" si="1">D6*D8</f>
        <v>2716844.9773820634</v>
      </c>
      <c r="E10" s="23">
        <f t="shared" si="1"/>
        <v>2906789.1543473597</v>
      </c>
      <c r="F10" s="23">
        <f t="shared" si="1"/>
        <v>2847853.5888684383</v>
      </c>
      <c r="G10" s="23">
        <f t="shared" si="1"/>
        <v>2781199.304175532</v>
      </c>
      <c r="H10" s="23">
        <f t="shared" si="1"/>
        <v>2708409.4170177118</v>
      </c>
      <c r="I10" s="23">
        <f t="shared" ref="I10" si="2">I6*I8</f>
        <v>2931198.0995079903</v>
      </c>
      <c r="J10" s="34"/>
      <c r="K10" s="122"/>
      <c r="L10" s="118"/>
      <c r="M10" s="118"/>
      <c r="N10" s="118"/>
      <c r="O10" s="118"/>
      <c r="P10" s="118"/>
      <c r="R10" s="34"/>
    </row>
    <row r="11" spans="2:18" ht="15.75" customHeight="1" x14ac:dyDescent="0.25">
      <c r="J11" s="34"/>
      <c r="K11" s="123"/>
      <c r="L11" s="124"/>
      <c r="M11" s="125"/>
      <c r="N11" s="125"/>
      <c r="O11" s="125"/>
      <c r="P11" s="125"/>
      <c r="R11" s="34"/>
    </row>
    <row r="12" spans="2:18" ht="13.2" x14ac:dyDescent="0.25">
      <c r="B12" s="72" t="s">
        <v>128</v>
      </c>
      <c r="C12" s="76">
        <f>I6</f>
        <v>5032490.7271874994</v>
      </c>
      <c r="J12" s="34"/>
      <c r="K12" s="126"/>
      <c r="L12" s="118"/>
      <c r="M12" s="118"/>
      <c r="N12" s="118"/>
      <c r="O12" s="118"/>
      <c r="P12" s="118"/>
    </row>
    <row r="13" spans="2:18" ht="13.2" x14ac:dyDescent="0.25">
      <c r="B13" s="73" t="s">
        <v>42</v>
      </c>
      <c r="C13" s="108">
        <f>Assumptions!C8</f>
        <v>0.02</v>
      </c>
      <c r="J13" s="34"/>
      <c r="K13" s="127"/>
      <c r="L13" s="119"/>
      <c r="M13" s="118"/>
      <c r="N13" s="118"/>
      <c r="O13" s="118"/>
      <c r="P13" s="118"/>
    </row>
    <row r="14" spans="2:18" ht="13.2" x14ac:dyDescent="0.25">
      <c r="B14" s="73" t="s">
        <v>0</v>
      </c>
      <c r="C14" s="109">
        <f>Assumptions!C17</f>
        <v>0.11416000000000001</v>
      </c>
      <c r="J14" s="34"/>
      <c r="K14" s="127"/>
      <c r="L14" s="118"/>
      <c r="M14" s="118"/>
      <c r="N14" s="118"/>
      <c r="O14" s="118"/>
      <c r="P14" s="118"/>
    </row>
    <row r="15" spans="2:18" ht="13.2" x14ac:dyDescent="0.25">
      <c r="B15" s="41"/>
      <c r="C15" s="42"/>
      <c r="J15" s="34"/>
      <c r="K15" s="127"/>
      <c r="L15" s="118"/>
      <c r="M15" s="118"/>
      <c r="N15" s="118"/>
      <c r="O15" s="118"/>
      <c r="P15" s="118"/>
    </row>
    <row r="16" spans="2:18" ht="13.2" x14ac:dyDescent="0.25">
      <c r="B16" s="73" t="s">
        <v>43</v>
      </c>
      <c r="C16" s="74">
        <f>(C12*(1+C13))/(C14-C13)</f>
        <v>54515086.466984376</v>
      </c>
      <c r="J16" s="34"/>
      <c r="K16" s="127"/>
      <c r="L16" s="118"/>
      <c r="M16" s="118"/>
      <c r="N16" s="118"/>
      <c r="O16" s="118"/>
      <c r="P16" s="118"/>
    </row>
    <row r="17" spans="2:16" ht="13.2" x14ac:dyDescent="0.25">
      <c r="B17" s="73" t="s">
        <v>129</v>
      </c>
      <c r="C17" s="74">
        <f>C16*I8</f>
        <v>31752570.746581882</v>
      </c>
      <c r="J17" s="34"/>
      <c r="K17" s="118"/>
      <c r="L17" s="118"/>
      <c r="M17" s="118"/>
      <c r="N17" s="118"/>
      <c r="O17" s="118"/>
      <c r="P17" s="118"/>
    </row>
    <row r="18" spans="2:16" ht="13.2" x14ac:dyDescent="0.25">
      <c r="B18" s="73"/>
      <c r="C18" s="74"/>
      <c r="J18" s="34"/>
      <c r="K18" s="120"/>
      <c r="L18" s="123"/>
      <c r="M18" s="118"/>
      <c r="N18" s="118"/>
      <c r="O18" s="118"/>
      <c r="P18" s="118"/>
    </row>
    <row r="19" spans="2:16" ht="13.2" x14ac:dyDescent="0.25">
      <c r="B19" s="40" t="s">
        <v>44</v>
      </c>
      <c r="C19" s="69">
        <f>SUM(D10:I10)</f>
        <v>16892294.541299094</v>
      </c>
      <c r="J19" s="34"/>
    </row>
    <row r="20" spans="2:16" ht="15.75" customHeight="1" thickBot="1" x14ac:dyDescent="0.3">
      <c r="B20" s="78" t="s">
        <v>45</v>
      </c>
      <c r="C20" s="79">
        <f>C17+C19</f>
        <v>48644865.287880972</v>
      </c>
    </row>
    <row r="21" spans="2:16" ht="15.75" customHeight="1" thickTop="1" x14ac:dyDescent="0.25">
      <c r="B21" s="40" t="s">
        <v>21</v>
      </c>
      <c r="C21" s="105">
        <f>Financials!I37-Financials!I30</f>
        <v>-356320165.9975</v>
      </c>
    </row>
    <row r="22" spans="2:16" ht="15.75" customHeight="1" x14ac:dyDescent="0.25">
      <c r="B22" s="40" t="s">
        <v>46</v>
      </c>
      <c r="C22" s="75">
        <v>0</v>
      </c>
    </row>
    <row r="23" spans="2:16" ht="15.75" customHeight="1" thickBot="1" x14ac:dyDescent="0.3">
      <c r="B23" s="78" t="s">
        <v>47</v>
      </c>
      <c r="C23" s="79">
        <f>C20-C21</f>
        <v>404965031.28538096</v>
      </c>
    </row>
    <row r="24" spans="2:16" ht="15.75" customHeight="1" thickTop="1" x14ac:dyDescent="0.25"/>
    <row r="25" spans="2:16" ht="15.75" customHeight="1" x14ac:dyDescent="0.25">
      <c r="B25" s="99" t="s">
        <v>80</v>
      </c>
      <c r="C25" s="99"/>
      <c r="D25" s="99"/>
      <c r="E25" s="99"/>
      <c r="F25" s="99"/>
      <c r="G25" s="99"/>
      <c r="H25" s="99"/>
      <c r="I25" s="99"/>
    </row>
    <row r="26" spans="2:16" ht="15.75" customHeight="1" x14ac:dyDescent="0.25">
      <c r="B26" s="34"/>
      <c r="C26" s="34"/>
      <c r="D26" s="97" t="s">
        <v>0</v>
      </c>
      <c r="E26" s="97"/>
      <c r="F26" s="97"/>
      <c r="G26" s="97"/>
      <c r="H26" s="97"/>
    </row>
    <row r="27" spans="2:16" ht="15.75" customHeight="1" x14ac:dyDescent="0.25">
      <c r="B27" s="98" t="s">
        <v>42</v>
      </c>
      <c r="C27" s="33">
        <f>C20</f>
        <v>48644865.287880972</v>
      </c>
      <c r="D27" s="35">
        <v>0.105</v>
      </c>
      <c r="E27" s="35">
        <v>0.11</v>
      </c>
      <c r="F27" s="35">
        <v>0.115</v>
      </c>
      <c r="G27" s="35">
        <v>0.12</v>
      </c>
      <c r="H27" s="35">
        <v>0.125</v>
      </c>
    </row>
    <row r="28" spans="2:16" ht="15.75" customHeight="1" x14ac:dyDescent="0.25">
      <c r="B28" s="98"/>
      <c r="C28" s="35">
        <v>0.01</v>
      </c>
      <c r="D28" s="36">
        <f t="dataTable" ref="D28:H32" dt2D="1" dtr="1" r1="C14" r2="C13"/>
        <v>49842161.027443729</v>
      </c>
      <c r="E28" s="36">
        <v>47268883.514423467</v>
      </c>
      <c r="F28" s="36">
        <v>44939142.563471965</v>
      </c>
      <c r="G28" s="36">
        <v>42819841.950940847</v>
      </c>
      <c r="H28" s="36">
        <v>40883635.87097583</v>
      </c>
    </row>
    <row r="29" spans="2:16" ht="15.75" customHeight="1" x14ac:dyDescent="0.25">
      <c r="B29" s="98"/>
      <c r="C29" s="35">
        <v>1.4999999999999999E-2</v>
      </c>
      <c r="D29" s="36">
        <v>51816118.358986229</v>
      </c>
      <c r="E29" s="37">
        <v>49013650.629737094</v>
      </c>
      <c r="F29" s="37">
        <v>46489615.603625298</v>
      </c>
      <c r="G29" s="37">
        <v>44204360.927794665</v>
      </c>
      <c r="H29" s="36">
        <v>42125437.920730844</v>
      </c>
    </row>
    <row r="30" spans="2:16" ht="15.75" customHeight="1" x14ac:dyDescent="0.25">
      <c r="B30" s="98"/>
      <c r="C30" s="35">
        <v>0.02</v>
      </c>
      <c r="D30" s="36">
        <v>54022305.96482788</v>
      </c>
      <c r="E30" s="37">
        <v>50952280.757863358</v>
      </c>
      <c r="F30" s="38">
        <v>48203296.332215816</v>
      </c>
      <c r="G30" s="37">
        <v>45727331.802333876</v>
      </c>
      <c r="H30" s="36">
        <v>43485506.832367301</v>
      </c>
    </row>
    <row r="31" spans="2:16" ht="15.75" customHeight="1" x14ac:dyDescent="0.25">
      <c r="B31" s="98"/>
      <c r="C31" s="35">
        <v>2.5000000000000001E-2</v>
      </c>
      <c r="D31" s="36">
        <v>56504267.021399707</v>
      </c>
      <c r="E31" s="37">
        <v>53118985.01871036</v>
      </c>
      <c r="F31" s="37">
        <v>50107386.030649737</v>
      </c>
      <c r="G31" s="37">
        <v>47410615.400508776</v>
      </c>
      <c r="H31" s="36">
        <v>44981582.63516739</v>
      </c>
    </row>
    <row r="32" spans="2:16" ht="15.75" customHeight="1" x14ac:dyDescent="0.25">
      <c r="B32" s="98"/>
      <c r="C32" s="35">
        <v>0.03</v>
      </c>
      <c r="D32" s="36">
        <v>59317156.218847781</v>
      </c>
      <c r="E32" s="36">
        <v>55556527.312163219</v>
      </c>
      <c r="F32" s="36">
        <v>52235486.281840578</v>
      </c>
      <c r="G32" s="36">
        <v>49280930.509592019</v>
      </c>
      <c r="H32" s="36">
        <v>46635140.101420134</v>
      </c>
    </row>
  </sheetData>
  <mergeCells count="3">
    <mergeCell ref="D26:H26"/>
    <mergeCell ref="B27:B32"/>
    <mergeCell ref="B25:I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33C6-0D84-4E32-A5A0-4F30ED847879}">
  <dimension ref="B1:M6"/>
  <sheetViews>
    <sheetView showGridLines="0" zoomScale="80" zoomScaleNormal="80" workbookViewId="0"/>
  </sheetViews>
  <sheetFormatPr defaultRowHeight="13.2" x14ac:dyDescent="0.25"/>
  <cols>
    <col min="1" max="1" width="0.88671875" customWidth="1"/>
    <col min="2" max="2" width="13.5546875" bestFit="1" customWidth="1"/>
    <col min="3" max="6" width="15.109375" bestFit="1" customWidth="1"/>
    <col min="7" max="9" width="14.109375" bestFit="1" customWidth="1"/>
    <col min="13" max="13" width="39.6640625" bestFit="1" customWidth="1"/>
  </cols>
  <sheetData>
    <row r="1" spans="2:13" x14ac:dyDescent="0.25">
      <c r="M1" s="51" t="s">
        <v>103</v>
      </c>
    </row>
    <row r="2" spans="2:13" x14ac:dyDescent="0.25">
      <c r="C2" s="31" t="str">
        <f>DCF!C4</f>
        <v>2024A</v>
      </c>
      <c r="D2" s="31" t="str">
        <f>DCF!D4</f>
        <v>2025E</v>
      </c>
      <c r="E2" s="31" t="str">
        <f>DCF!E4</f>
        <v>2026E</v>
      </c>
      <c r="F2" s="31" t="str">
        <f>DCF!F4</f>
        <v>2027E</v>
      </c>
      <c r="G2" s="31" t="str">
        <f>DCF!G4</f>
        <v>2028E</v>
      </c>
      <c r="H2" s="31" t="str">
        <f>DCF!H4</f>
        <v>2029E</v>
      </c>
      <c r="I2" s="31" t="str">
        <f>DCF!I4</f>
        <v>2030E</v>
      </c>
    </row>
    <row r="3" spans="2:13" x14ac:dyDescent="0.25">
      <c r="B3" s="88" t="s">
        <v>99</v>
      </c>
      <c r="C3" s="110">
        <f>Assumptions!C13</f>
        <v>15000000</v>
      </c>
      <c r="D3" s="89">
        <f>C6</f>
        <v>15000000</v>
      </c>
      <c r="E3" s="89">
        <f t="shared" ref="E3:I3" si="0">D6</f>
        <v>13250000</v>
      </c>
      <c r="F3" s="89">
        <f t="shared" si="0"/>
        <v>11412500</v>
      </c>
      <c r="G3" s="89">
        <f t="shared" si="0"/>
        <v>9483125</v>
      </c>
      <c r="H3" s="89">
        <f t="shared" si="0"/>
        <v>7457281.25</v>
      </c>
      <c r="I3" s="90">
        <f t="shared" si="0"/>
        <v>5330145.3125</v>
      </c>
      <c r="M3" s="51" t="s">
        <v>104</v>
      </c>
    </row>
    <row r="4" spans="2:13" x14ac:dyDescent="0.25">
      <c r="B4" s="91" t="s">
        <v>100</v>
      </c>
      <c r="C4" s="92">
        <v>0</v>
      </c>
      <c r="D4" s="92">
        <f>C3*5%</f>
        <v>750000</v>
      </c>
      <c r="E4" s="92">
        <f>D6*5%</f>
        <v>662500</v>
      </c>
      <c r="F4" s="92">
        <f t="shared" ref="F4:I4" si="1">E6*5%</f>
        <v>570625</v>
      </c>
      <c r="G4" s="92">
        <f t="shared" si="1"/>
        <v>474156.25</v>
      </c>
      <c r="H4" s="92">
        <f t="shared" si="1"/>
        <v>372864.0625</v>
      </c>
      <c r="I4" s="93">
        <f t="shared" si="1"/>
        <v>266507.265625</v>
      </c>
      <c r="M4" s="51" t="s">
        <v>105</v>
      </c>
    </row>
    <row r="5" spans="2:13" x14ac:dyDescent="0.25">
      <c r="B5" s="91" t="s">
        <v>101</v>
      </c>
      <c r="C5" s="92">
        <v>0</v>
      </c>
      <c r="D5" s="106">
        <v>2500000</v>
      </c>
      <c r="E5" s="106">
        <v>2500000</v>
      </c>
      <c r="F5" s="106">
        <v>2500000</v>
      </c>
      <c r="G5" s="106">
        <v>2500000</v>
      </c>
      <c r="H5" s="106">
        <v>2500000</v>
      </c>
      <c r="I5" s="107">
        <v>2500000</v>
      </c>
      <c r="M5" s="51" t="s">
        <v>106</v>
      </c>
    </row>
    <row r="6" spans="2:13" x14ac:dyDescent="0.25">
      <c r="B6" s="94" t="s">
        <v>102</v>
      </c>
      <c r="C6" s="95">
        <f>+C3+C4-C5</f>
        <v>15000000</v>
      </c>
      <c r="D6" s="95">
        <f t="shared" ref="D6:I6" si="2">+D3+D4-D5</f>
        <v>13250000</v>
      </c>
      <c r="E6" s="95">
        <f t="shared" si="2"/>
        <v>11412500</v>
      </c>
      <c r="F6" s="95">
        <f t="shared" si="2"/>
        <v>9483125</v>
      </c>
      <c r="G6" s="95">
        <f t="shared" si="2"/>
        <v>7457281.25</v>
      </c>
      <c r="H6" s="95">
        <f t="shared" si="2"/>
        <v>5330145.3125</v>
      </c>
      <c r="I6" s="96">
        <f t="shared" si="2"/>
        <v>3096652.578125</v>
      </c>
      <c r="M6" s="51" t="s">
        <v>107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O29"/>
  <sheetViews>
    <sheetView showGridLines="0" zoomScale="80" zoomScaleNormal="80" workbookViewId="0"/>
  </sheetViews>
  <sheetFormatPr defaultColWidth="12.6640625" defaultRowHeight="15.75" customHeight="1" x14ac:dyDescent="0.25"/>
  <cols>
    <col min="1" max="1" width="0.88671875" customWidth="1"/>
    <col min="2" max="2" width="30.44140625" bestFit="1" customWidth="1"/>
    <col min="13" max="13" width="16.109375" customWidth="1"/>
  </cols>
  <sheetData>
    <row r="2" spans="1:15" ht="13.2" x14ac:dyDescent="0.25">
      <c r="B2" s="1" t="s">
        <v>48</v>
      </c>
    </row>
    <row r="3" spans="1:15" ht="13.2" x14ac:dyDescent="0.25">
      <c r="A3" s="1"/>
      <c r="B3" s="65" t="s">
        <v>49</v>
      </c>
      <c r="C3" s="66" t="str">
        <f>DCF!C4</f>
        <v>2024A</v>
      </c>
      <c r="D3" s="66" t="str">
        <f>DCF!D4</f>
        <v>2025E</v>
      </c>
      <c r="E3" s="66" t="str">
        <f>DCF!E4</f>
        <v>2026E</v>
      </c>
      <c r="F3" s="66" t="str">
        <f>DCF!F4</f>
        <v>2027E</v>
      </c>
      <c r="G3" s="66" t="str">
        <f>DCF!G4</f>
        <v>2028E</v>
      </c>
      <c r="H3" s="67" t="str">
        <f>DCF!H4</f>
        <v>2029E</v>
      </c>
      <c r="I3" s="21" t="s">
        <v>81</v>
      </c>
      <c r="N3" s="100" t="s">
        <v>50</v>
      </c>
      <c r="O3" s="101"/>
    </row>
    <row r="4" spans="1:15" ht="13.2" x14ac:dyDescent="0.25">
      <c r="A4" s="1"/>
      <c r="B4" s="39" t="s">
        <v>51</v>
      </c>
      <c r="C4" s="111">
        <f>Financials!C4</f>
        <v>100000000</v>
      </c>
      <c r="D4" s="111">
        <f>Financials!D4</f>
        <v>105000000</v>
      </c>
      <c r="E4" s="111">
        <f>Financials!E4</f>
        <v>110250000</v>
      </c>
      <c r="F4" s="111">
        <f>Financials!F4</f>
        <v>115762500</v>
      </c>
      <c r="G4" s="111">
        <f>Financials!G4</f>
        <v>121550625</v>
      </c>
      <c r="H4" s="111">
        <f>Financials!H4</f>
        <v>127628156.25</v>
      </c>
      <c r="I4" s="112">
        <f>Financials!I4</f>
        <v>134009564.0625</v>
      </c>
      <c r="N4" s="102" t="s">
        <v>52</v>
      </c>
      <c r="O4" s="103"/>
    </row>
    <row r="5" spans="1:15" ht="13.2" x14ac:dyDescent="0.25">
      <c r="A5" s="1"/>
      <c r="B5" s="40" t="s">
        <v>53</v>
      </c>
      <c r="C5" s="113">
        <f>C4*Assumptions!$C$4</f>
        <v>70000000</v>
      </c>
      <c r="D5" s="113">
        <f>D4*Assumptions!$C$4</f>
        <v>73500000</v>
      </c>
      <c r="E5" s="113">
        <f>E4*Assumptions!$C$4</f>
        <v>77175000</v>
      </c>
      <c r="F5" s="113">
        <f>F4*Assumptions!$C$4</f>
        <v>81033750</v>
      </c>
      <c r="G5" s="113">
        <f>G4*Assumptions!$C$4</f>
        <v>85085437.5</v>
      </c>
      <c r="H5" s="113">
        <f>H4*Assumptions!$C$4</f>
        <v>89339709.375</v>
      </c>
      <c r="I5" s="114">
        <f>I4*Assumptions!$C$4</f>
        <v>93806694.84375</v>
      </c>
      <c r="N5" s="27" t="s">
        <v>54</v>
      </c>
      <c r="O5" s="28">
        <v>0.4</v>
      </c>
    </row>
    <row r="6" spans="1:15" ht="13.2" x14ac:dyDescent="0.25">
      <c r="B6" s="40" t="s">
        <v>56</v>
      </c>
      <c r="C6" s="23">
        <f t="shared" ref="C6:F6" si="0">C5*$O$5</f>
        <v>28000000</v>
      </c>
      <c r="D6" s="23">
        <f t="shared" si="0"/>
        <v>29400000</v>
      </c>
      <c r="E6" s="23">
        <f t="shared" si="0"/>
        <v>30870000</v>
      </c>
      <c r="F6" s="23">
        <f t="shared" si="0"/>
        <v>32413500</v>
      </c>
      <c r="G6" s="23">
        <f>G5*$O$5</f>
        <v>34034175</v>
      </c>
      <c r="H6" s="23">
        <f>H5*$O$5</f>
        <v>35735883.75</v>
      </c>
      <c r="I6" s="69">
        <f>I5*$O$5</f>
        <v>37522677.9375</v>
      </c>
      <c r="N6" s="27" t="s">
        <v>55</v>
      </c>
      <c r="O6" s="28">
        <v>0.4</v>
      </c>
    </row>
    <row r="7" spans="1:15" ht="13.2" x14ac:dyDescent="0.25">
      <c r="B7" s="40" t="s">
        <v>57</v>
      </c>
      <c r="C7" s="23">
        <f t="shared" ref="C7:F7" si="1">C5*$O$6</f>
        <v>28000000</v>
      </c>
      <c r="D7" s="23">
        <f t="shared" si="1"/>
        <v>29400000</v>
      </c>
      <c r="E7" s="23">
        <f t="shared" si="1"/>
        <v>30870000</v>
      </c>
      <c r="F7" s="23">
        <f t="shared" si="1"/>
        <v>32413500</v>
      </c>
      <c r="G7" s="23">
        <f>G5*$O$6</f>
        <v>34034175</v>
      </c>
      <c r="H7" s="23">
        <f>H5*$O$6</f>
        <v>35735883.75</v>
      </c>
      <c r="I7" s="69">
        <f>I5*$O$6</f>
        <v>37522677.9375</v>
      </c>
      <c r="N7" s="27" t="s">
        <v>58</v>
      </c>
      <c r="O7" s="28">
        <v>0.2</v>
      </c>
    </row>
    <row r="8" spans="1:15" ht="13.2" x14ac:dyDescent="0.25">
      <c r="B8" s="43" t="s">
        <v>59</v>
      </c>
      <c r="C8" s="70">
        <f t="shared" ref="C8:F8" si="2">C5*$O$7</f>
        <v>14000000</v>
      </c>
      <c r="D8" s="70">
        <f t="shared" si="2"/>
        <v>14700000</v>
      </c>
      <c r="E8" s="70">
        <f t="shared" si="2"/>
        <v>15435000</v>
      </c>
      <c r="F8" s="70">
        <f t="shared" si="2"/>
        <v>16206750</v>
      </c>
      <c r="G8" s="70">
        <f>G5*$O$7</f>
        <v>17017087.5</v>
      </c>
      <c r="H8" s="70">
        <f>H5*$O$7</f>
        <v>17867941.875</v>
      </c>
      <c r="I8" s="71">
        <f>I5*$O$7</f>
        <v>18761338.96875</v>
      </c>
    </row>
    <row r="10" spans="1:15" ht="13.2" x14ac:dyDescent="0.25">
      <c r="N10" s="2"/>
    </row>
    <row r="11" spans="1:15" ht="13.2" x14ac:dyDescent="0.25">
      <c r="A11" s="1"/>
      <c r="B11" s="29" t="s">
        <v>60</v>
      </c>
      <c r="C11" s="21" t="s">
        <v>61</v>
      </c>
      <c r="D11" s="21" t="s">
        <v>62</v>
      </c>
      <c r="E11" s="21" t="s">
        <v>63</v>
      </c>
      <c r="F11" s="21" t="s">
        <v>64</v>
      </c>
      <c r="G11" s="21" t="s">
        <v>65</v>
      </c>
      <c r="H11" s="21" t="s">
        <v>66</v>
      </c>
      <c r="I11" s="21" t="s">
        <v>82</v>
      </c>
      <c r="J11" s="1" t="s">
        <v>67</v>
      </c>
      <c r="N11" s="2"/>
    </row>
    <row r="12" spans="1:15" ht="13.2" x14ac:dyDescent="0.25">
      <c r="A12" s="1"/>
      <c r="B12" s="81" t="s">
        <v>68</v>
      </c>
      <c r="C12" s="68">
        <f t="shared" ref="C12:C14" si="3">C6</f>
        <v>28000000</v>
      </c>
      <c r="D12" s="82">
        <v>0</v>
      </c>
      <c r="E12" s="82">
        <v>0</v>
      </c>
      <c r="F12" s="82">
        <v>0</v>
      </c>
      <c r="G12" s="82">
        <v>0</v>
      </c>
      <c r="H12" s="82">
        <v>0</v>
      </c>
      <c r="I12" s="83">
        <v>0</v>
      </c>
      <c r="J12" s="23">
        <f t="shared" ref="J12:J18" si="4">SUM(C12:I12)</f>
        <v>28000000</v>
      </c>
    </row>
    <row r="13" spans="1:15" ht="13.2" x14ac:dyDescent="0.25">
      <c r="A13" s="1"/>
      <c r="B13" s="84" t="s">
        <v>69</v>
      </c>
      <c r="C13" s="23">
        <f t="shared" si="3"/>
        <v>28000000</v>
      </c>
      <c r="D13" s="23">
        <f t="shared" ref="D13:D15" si="5">D6</f>
        <v>29400000</v>
      </c>
      <c r="E13" s="1">
        <v>0</v>
      </c>
      <c r="F13" s="1">
        <v>0</v>
      </c>
      <c r="G13" s="1">
        <v>0</v>
      </c>
      <c r="H13" s="1">
        <v>0</v>
      </c>
      <c r="I13" s="75">
        <v>0</v>
      </c>
      <c r="J13" s="23">
        <f t="shared" si="4"/>
        <v>57400000</v>
      </c>
    </row>
    <row r="14" spans="1:15" ht="13.2" x14ac:dyDescent="0.25">
      <c r="A14" s="1"/>
      <c r="B14" s="84" t="s">
        <v>70</v>
      </c>
      <c r="C14" s="23">
        <f t="shared" si="3"/>
        <v>14000000</v>
      </c>
      <c r="D14" s="23">
        <f t="shared" si="5"/>
        <v>29400000</v>
      </c>
      <c r="E14" s="23">
        <f t="shared" ref="E14:E16" si="6">E6</f>
        <v>30870000</v>
      </c>
      <c r="F14" s="1">
        <v>0</v>
      </c>
      <c r="G14" s="1">
        <v>0</v>
      </c>
      <c r="H14" s="1">
        <v>0</v>
      </c>
      <c r="I14" s="75">
        <v>0</v>
      </c>
      <c r="J14" s="23">
        <f t="shared" si="4"/>
        <v>74270000</v>
      </c>
    </row>
    <row r="15" spans="1:15" ht="13.2" x14ac:dyDescent="0.25">
      <c r="A15" s="1"/>
      <c r="B15" s="84" t="s">
        <v>71</v>
      </c>
      <c r="C15" s="1">
        <v>0</v>
      </c>
      <c r="D15" s="23">
        <f t="shared" si="5"/>
        <v>14700000</v>
      </c>
      <c r="E15" s="23">
        <f t="shared" si="6"/>
        <v>30870000</v>
      </c>
      <c r="F15" s="23">
        <f t="shared" ref="F15:F17" si="7">F6</f>
        <v>32413500</v>
      </c>
      <c r="G15" s="1">
        <v>0</v>
      </c>
      <c r="H15" s="1">
        <v>0</v>
      </c>
      <c r="I15" s="75">
        <v>0</v>
      </c>
      <c r="J15" s="23">
        <f t="shared" si="4"/>
        <v>77983500</v>
      </c>
    </row>
    <row r="16" spans="1:15" ht="13.2" x14ac:dyDescent="0.25">
      <c r="A16" s="1"/>
      <c r="B16" s="84" t="s">
        <v>72</v>
      </c>
      <c r="C16" s="1">
        <v>0</v>
      </c>
      <c r="D16" s="1">
        <v>0</v>
      </c>
      <c r="E16" s="23">
        <f t="shared" si="6"/>
        <v>15435000</v>
      </c>
      <c r="F16" s="23">
        <f t="shared" si="7"/>
        <v>32413500</v>
      </c>
      <c r="G16" s="23">
        <f t="shared" ref="G16:G17" si="8">G6</f>
        <v>34034175</v>
      </c>
      <c r="H16" s="1">
        <v>0</v>
      </c>
      <c r="I16" s="75">
        <v>0</v>
      </c>
      <c r="J16" s="23">
        <f t="shared" si="4"/>
        <v>81882675</v>
      </c>
    </row>
    <row r="17" spans="1:10" ht="13.2" x14ac:dyDescent="0.25">
      <c r="A17" s="1"/>
      <c r="B17" s="84" t="s">
        <v>73</v>
      </c>
      <c r="C17" s="1">
        <v>0</v>
      </c>
      <c r="D17" s="1">
        <v>0</v>
      </c>
      <c r="E17" s="1">
        <v>0</v>
      </c>
      <c r="F17" s="23">
        <f t="shared" si="7"/>
        <v>16206750</v>
      </c>
      <c r="G17" s="23">
        <f t="shared" si="8"/>
        <v>34034175</v>
      </c>
      <c r="H17" s="23">
        <f>H6</f>
        <v>35735883.75</v>
      </c>
      <c r="I17" s="69">
        <v>0</v>
      </c>
      <c r="J17" s="23">
        <f t="shared" si="4"/>
        <v>85976808.75</v>
      </c>
    </row>
    <row r="18" spans="1:10" ht="13.2" x14ac:dyDescent="0.25">
      <c r="A18" s="1"/>
      <c r="B18" s="84" t="s">
        <v>83</v>
      </c>
      <c r="C18" s="1">
        <v>0</v>
      </c>
      <c r="D18" s="1">
        <v>0</v>
      </c>
      <c r="E18" s="1">
        <v>0</v>
      </c>
      <c r="F18" s="23">
        <v>0</v>
      </c>
      <c r="G18" s="23">
        <f>G8</f>
        <v>17017087.5</v>
      </c>
      <c r="H18" s="23">
        <f>H7</f>
        <v>35735883.75</v>
      </c>
      <c r="I18" s="69">
        <f>I6</f>
        <v>37522677.9375</v>
      </c>
      <c r="J18" s="23">
        <f t="shared" si="4"/>
        <v>90275649.1875</v>
      </c>
    </row>
    <row r="19" spans="1:10" ht="13.2" x14ac:dyDescent="0.25">
      <c r="B19" s="85"/>
      <c r="C19" s="70">
        <f t="shared" ref="C19:I19" si="9">SUM(C12:C18)</f>
        <v>70000000</v>
      </c>
      <c r="D19" s="70">
        <f t="shared" si="9"/>
        <v>73500000</v>
      </c>
      <c r="E19" s="70">
        <f t="shared" si="9"/>
        <v>77175000</v>
      </c>
      <c r="F19" s="70">
        <f t="shared" si="9"/>
        <v>81033750</v>
      </c>
      <c r="G19" s="70">
        <f t="shared" si="9"/>
        <v>85085437.5</v>
      </c>
      <c r="H19" s="70">
        <f t="shared" si="9"/>
        <v>71471767.5</v>
      </c>
      <c r="I19" s="71">
        <f t="shared" si="9"/>
        <v>37522677.9375</v>
      </c>
      <c r="J19" s="23"/>
    </row>
    <row r="20" spans="1:10" ht="13.2" x14ac:dyDescent="0.25">
      <c r="B20" s="30" t="s">
        <v>74</v>
      </c>
      <c r="C20" s="30" t="b">
        <f t="shared" ref="C20:I20" si="10">C5=C19</f>
        <v>1</v>
      </c>
      <c r="D20" s="30" t="b">
        <f t="shared" si="10"/>
        <v>1</v>
      </c>
      <c r="E20" s="30" t="b">
        <f t="shared" si="10"/>
        <v>1</v>
      </c>
      <c r="F20" s="30" t="b">
        <f t="shared" si="10"/>
        <v>1</v>
      </c>
      <c r="G20" s="30" t="b">
        <f t="shared" si="10"/>
        <v>1</v>
      </c>
      <c r="H20" s="30" t="b">
        <f t="shared" si="10"/>
        <v>0</v>
      </c>
      <c r="I20" s="30" t="b">
        <f t="shared" si="10"/>
        <v>0</v>
      </c>
      <c r="J20" s="30" t="b">
        <f>SUM(J12:J17)=SUM(C5:H5)</f>
        <v>0</v>
      </c>
    </row>
    <row r="22" spans="1:10" ht="13.2" x14ac:dyDescent="0.25">
      <c r="B22" s="66" t="s">
        <v>75</v>
      </c>
    </row>
    <row r="23" spans="1:10" ht="13.2" x14ac:dyDescent="0.25">
      <c r="B23" s="66" t="s">
        <v>49</v>
      </c>
      <c r="C23" s="66" t="str">
        <f t="shared" ref="C23:H23" si="11">C3</f>
        <v>2024A</v>
      </c>
      <c r="D23" s="66" t="str">
        <f t="shared" si="11"/>
        <v>2025E</v>
      </c>
      <c r="E23" s="66" t="str">
        <f t="shared" si="11"/>
        <v>2026E</v>
      </c>
      <c r="F23" s="66" t="str">
        <f t="shared" si="11"/>
        <v>2027E</v>
      </c>
      <c r="G23" s="66" t="str">
        <f t="shared" si="11"/>
        <v>2028E</v>
      </c>
      <c r="H23" s="66" t="str">
        <f t="shared" si="11"/>
        <v>2029E</v>
      </c>
      <c r="I23" s="66" t="str">
        <f t="shared" ref="I23" si="12">I3</f>
        <v>2023E</v>
      </c>
    </row>
    <row r="24" spans="1:10" ht="13.2" x14ac:dyDescent="0.25">
      <c r="B24" s="40" t="s">
        <v>76</v>
      </c>
      <c r="C24" s="1">
        <v>0</v>
      </c>
      <c r="D24" s="23">
        <f t="shared" ref="D24:I24" si="13">C27</f>
        <v>42000000</v>
      </c>
      <c r="E24" s="23">
        <f t="shared" si="13"/>
        <v>58100000</v>
      </c>
      <c r="F24" s="23">
        <f t="shared" si="13"/>
        <v>61005000</v>
      </c>
      <c r="G24" s="23">
        <f t="shared" si="13"/>
        <v>64055250</v>
      </c>
      <c r="H24" s="23">
        <f t="shared" si="13"/>
        <v>67258012.5</v>
      </c>
      <c r="I24" s="69">
        <f t="shared" si="13"/>
        <v>70620913.125</v>
      </c>
    </row>
    <row r="25" spans="1:10" ht="13.2" x14ac:dyDescent="0.25">
      <c r="B25" s="40" t="s">
        <v>77</v>
      </c>
      <c r="C25" s="23">
        <f t="shared" ref="C25:H25" si="14">C5</f>
        <v>70000000</v>
      </c>
      <c r="D25" s="23">
        <f t="shared" si="14"/>
        <v>73500000</v>
      </c>
      <c r="E25" s="23">
        <f t="shared" si="14"/>
        <v>77175000</v>
      </c>
      <c r="F25" s="23">
        <f t="shared" si="14"/>
        <v>81033750</v>
      </c>
      <c r="G25" s="23">
        <f t="shared" si="14"/>
        <v>85085437.5</v>
      </c>
      <c r="H25" s="23">
        <f t="shared" si="14"/>
        <v>89339709.375</v>
      </c>
      <c r="I25" s="69">
        <f t="shared" ref="I25" si="15">I5</f>
        <v>93806694.84375</v>
      </c>
    </row>
    <row r="26" spans="1:10" ht="13.2" x14ac:dyDescent="0.25">
      <c r="B26" s="40" t="s">
        <v>78</v>
      </c>
      <c r="C26" s="23">
        <f>C12</f>
        <v>28000000</v>
      </c>
      <c r="D26" s="23">
        <f>J13</f>
        <v>57400000</v>
      </c>
      <c r="E26" s="23">
        <f>J14</f>
        <v>74270000</v>
      </c>
      <c r="F26" s="23">
        <f>J15</f>
        <v>77983500</v>
      </c>
      <c r="G26" s="23">
        <f>J16</f>
        <v>81882675</v>
      </c>
      <c r="H26" s="23">
        <f>J17</f>
        <v>85976808.75</v>
      </c>
      <c r="I26" s="69">
        <f>J18</f>
        <v>90275649.1875</v>
      </c>
    </row>
    <row r="27" spans="1:10" ht="13.2" x14ac:dyDescent="0.25">
      <c r="B27" s="40" t="s">
        <v>79</v>
      </c>
      <c r="C27" s="23">
        <f t="shared" ref="C27:H27" si="16">C24+C25-C26</f>
        <v>42000000</v>
      </c>
      <c r="D27" s="23">
        <f t="shared" si="16"/>
        <v>58100000</v>
      </c>
      <c r="E27" s="23">
        <f t="shared" si="16"/>
        <v>61005000</v>
      </c>
      <c r="F27" s="23">
        <f t="shared" si="16"/>
        <v>64055250</v>
      </c>
      <c r="G27" s="23">
        <f t="shared" si="16"/>
        <v>67258012.5</v>
      </c>
      <c r="H27" s="23">
        <f t="shared" si="16"/>
        <v>70620913.125</v>
      </c>
      <c r="I27" s="69">
        <f t="shared" ref="I27" si="17">I24+I25-I26</f>
        <v>74151958.78125</v>
      </c>
    </row>
    <row r="28" spans="1:10" ht="13.2" x14ac:dyDescent="0.25">
      <c r="B28" s="40" t="s">
        <v>84</v>
      </c>
      <c r="C28" s="23">
        <f t="shared" ref="C28:H28" si="18">C27-C24</f>
        <v>42000000</v>
      </c>
      <c r="D28" s="23">
        <f t="shared" si="18"/>
        <v>16100000</v>
      </c>
      <c r="E28" s="23">
        <f t="shared" si="18"/>
        <v>2905000</v>
      </c>
      <c r="F28" s="23">
        <f t="shared" si="18"/>
        <v>3050250</v>
      </c>
      <c r="G28" s="23">
        <f t="shared" si="18"/>
        <v>3202762.5</v>
      </c>
      <c r="H28" s="23">
        <f t="shared" si="18"/>
        <v>3362900.625</v>
      </c>
      <c r="I28" s="69">
        <f t="shared" ref="I28" si="19">I27-I24</f>
        <v>3531045.65625</v>
      </c>
    </row>
    <row r="29" spans="1:10" ht="15.75" customHeight="1" x14ac:dyDescent="0.25">
      <c r="B29" s="43" t="s">
        <v>85</v>
      </c>
      <c r="C29" s="86">
        <f>(C24+C27)/2</f>
        <v>21000000</v>
      </c>
      <c r="D29" s="86">
        <f t="shared" ref="D29:I29" si="20">(D24+D27)/2</f>
        <v>50050000</v>
      </c>
      <c r="E29" s="86">
        <f t="shared" si="20"/>
        <v>59552500</v>
      </c>
      <c r="F29" s="86">
        <f t="shared" si="20"/>
        <v>62530125</v>
      </c>
      <c r="G29" s="86">
        <f t="shared" si="20"/>
        <v>65656631.25</v>
      </c>
      <c r="H29" s="86">
        <f t="shared" si="20"/>
        <v>68939462.8125</v>
      </c>
      <c r="I29" s="87">
        <f t="shared" si="20"/>
        <v>72386435.953125</v>
      </c>
    </row>
  </sheetData>
  <mergeCells count="2">
    <mergeCell ref="N3:O3"/>
    <mergeCell ref="N4:O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D32"/>
  <sheetViews>
    <sheetView showGridLines="0" zoomScale="80" zoomScaleNormal="80" workbookViewId="0"/>
  </sheetViews>
  <sheetFormatPr defaultColWidth="12.6640625" defaultRowHeight="15.75" customHeight="1" x14ac:dyDescent="0.25"/>
  <cols>
    <col min="1" max="1" width="0.88671875" customWidth="1"/>
    <col min="2" max="2" width="21" bestFit="1" customWidth="1"/>
    <col min="6" max="6" width="20.5546875" bestFit="1" customWidth="1"/>
  </cols>
  <sheetData>
    <row r="2" spans="2:3" x14ac:dyDescent="0.25">
      <c r="B2" s="39" t="s">
        <v>1</v>
      </c>
      <c r="C2" s="44">
        <v>100000000</v>
      </c>
    </row>
    <row r="3" spans="2:3" x14ac:dyDescent="0.25">
      <c r="B3" s="40" t="s">
        <v>3</v>
      </c>
      <c r="C3" s="45">
        <v>0.05</v>
      </c>
    </row>
    <row r="4" spans="2:3" x14ac:dyDescent="0.25">
      <c r="B4" s="40" t="s">
        <v>5</v>
      </c>
      <c r="C4" s="45">
        <v>0.7</v>
      </c>
    </row>
    <row r="5" spans="2:3" x14ac:dyDescent="0.25">
      <c r="B5" s="40" t="s">
        <v>7</v>
      </c>
      <c r="C5" s="45">
        <v>0.25</v>
      </c>
    </row>
    <row r="6" spans="2:3" x14ac:dyDescent="0.25">
      <c r="B6" s="40" t="s">
        <v>9</v>
      </c>
      <c r="C6" s="45">
        <v>0.04</v>
      </c>
    </row>
    <row r="7" spans="2:3" x14ac:dyDescent="0.25">
      <c r="B7" s="40" t="s">
        <v>11</v>
      </c>
      <c r="C7" s="45">
        <v>0.1</v>
      </c>
    </row>
    <row r="8" spans="2:3" x14ac:dyDescent="0.25">
      <c r="B8" s="40" t="s">
        <v>13</v>
      </c>
      <c r="C8" s="45">
        <v>0.02</v>
      </c>
    </row>
    <row r="9" spans="2:3" x14ac:dyDescent="0.25">
      <c r="B9" s="40" t="s">
        <v>15</v>
      </c>
      <c r="C9" s="46">
        <v>10000000</v>
      </c>
    </row>
    <row r="10" spans="2:3" x14ac:dyDescent="0.25">
      <c r="B10" s="40" t="s">
        <v>16</v>
      </c>
      <c r="C10" s="47">
        <v>1.4999999999999999E-2</v>
      </c>
    </row>
    <row r="11" spans="2:3" x14ac:dyDescent="0.25">
      <c r="B11" s="41"/>
      <c r="C11" s="42"/>
    </row>
    <row r="12" spans="2:3" x14ac:dyDescent="0.25">
      <c r="B12" s="77" t="s">
        <v>159</v>
      </c>
      <c r="C12" s="44">
        <v>25000000</v>
      </c>
    </row>
    <row r="13" spans="2:3" x14ac:dyDescent="0.25">
      <c r="B13" s="77" t="s">
        <v>99</v>
      </c>
      <c r="C13" s="46">
        <v>15000000</v>
      </c>
    </row>
    <row r="14" spans="2:3" x14ac:dyDescent="0.25">
      <c r="B14" s="80" t="s">
        <v>160</v>
      </c>
      <c r="C14" s="48">
        <f>C13-C12</f>
        <v>-10000000</v>
      </c>
    </row>
    <row r="15" spans="2:3" x14ac:dyDescent="0.25"/>
    <row r="16" spans="2:3" x14ac:dyDescent="0.25">
      <c r="B16" s="128" t="s">
        <v>0</v>
      </c>
      <c r="C16" s="4">
        <f>(C18*C23)+(C25*C28)</f>
        <v>9.9160000000000012E-2</v>
      </c>
    </row>
    <row r="17" spans="2:4" x14ac:dyDescent="0.25">
      <c r="B17" s="128" t="s">
        <v>2</v>
      </c>
      <c r="C17" s="129">
        <f>C16+C32</f>
        <v>0.11416000000000001</v>
      </c>
    </row>
    <row r="18" spans="2:4" x14ac:dyDescent="0.25">
      <c r="B18" s="5" t="s">
        <v>4</v>
      </c>
      <c r="C18" s="4">
        <v>0.8</v>
      </c>
    </row>
    <row r="19" spans="2:4" ht="15.75" customHeight="1" x14ac:dyDescent="0.25">
      <c r="B19" s="5" t="s">
        <v>6</v>
      </c>
      <c r="C19" s="6">
        <v>4.2700000000000002E-2</v>
      </c>
    </row>
    <row r="20" spans="2:4" ht="15.75" customHeight="1" x14ac:dyDescent="0.25">
      <c r="B20" s="5" t="s">
        <v>8</v>
      </c>
      <c r="C20" s="5">
        <v>1</v>
      </c>
    </row>
    <row r="21" spans="2:4" ht="15.75" customHeight="1" x14ac:dyDescent="0.25">
      <c r="B21" s="5" t="s">
        <v>10</v>
      </c>
      <c r="C21" s="6">
        <v>5.5E-2</v>
      </c>
    </row>
    <row r="22" spans="2:4" ht="15.75" customHeight="1" x14ac:dyDescent="0.25">
      <c r="B22" s="5" t="s">
        <v>12</v>
      </c>
      <c r="C22" s="6">
        <v>1.4999999999999999E-2</v>
      </c>
    </row>
    <row r="23" spans="2:4" ht="15.75" customHeight="1" x14ac:dyDescent="0.25">
      <c r="B23" s="7" t="s">
        <v>14</v>
      </c>
      <c r="C23" s="8">
        <f>C19+(C20*C21)+C22</f>
        <v>0.11270000000000001</v>
      </c>
    </row>
    <row r="24" spans="2:4" x14ac:dyDescent="0.25">
      <c r="B24" s="9"/>
      <c r="C24" s="10"/>
      <c r="D24" s="20"/>
    </row>
    <row r="25" spans="2:4" ht="15.75" customHeight="1" x14ac:dyDescent="0.25">
      <c r="B25" s="3" t="s">
        <v>17</v>
      </c>
      <c r="C25" s="11">
        <v>0.2</v>
      </c>
    </row>
    <row r="26" spans="2:4" ht="15.75" customHeight="1" x14ac:dyDescent="0.25">
      <c r="B26" s="5" t="s">
        <v>18</v>
      </c>
      <c r="C26" s="12">
        <v>0.06</v>
      </c>
    </row>
    <row r="27" spans="2:4" ht="15.75" customHeight="1" x14ac:dyDescent="0.25">
      <c r="B27" s="5" t="s">
        <v>19</v>
      </c>
      <c r="C27" s="12">
        <v>0.25</v>
      </c>
    </row>
    <row r="28" spans="2:4" ht="15.75" customHeight="1" x14ac:dyDescent="0.25">
      <c r="B28" s="13" t="s">
        <v>20</v>
      </c>
      <c r="C28" s="14">
        <f>C26*(1-C27)</f>
        <v>4.4999999999999998E-2</v>
      </c>
    </row>
    <row r="29" spans="2:4" ht="15.75" customHeight="1" x14ac:dyDescent="0.25">
      <c r="B29" s="9" t="s">
        <v>22</v>
      </c>
      <c r="C29" s="10"/>
    </row>
    <row r="30" spans="2:4" ht="15.75" customHeight="1" x14ac:dyDescent="0.25">
      <c r="B30" s="3" t="s">
        <v>23</v>
      </c>
      <c r="C30" s="15">
        <v>5.0000000000000001E-3</v>
      </c>
    </row>
    <row r="31" spans="2:4" ht="15.75" customHeight="1" x14ac:dyDescent="0.25">
      <c r="B31" s="16" t="s">
        <v>24</v>
      </c>
      <c r="C31" s="17">
        <v>0.01</v>
      </c>
    </row>
    <row r="32" spans="2:4" ht="15.75" customHeight="1" x14ac:dyDescent="0.25">
      <c r="B32" s="18"/>
      <c r="C32" s="19">
        <f>C30+C31</f>
        <v>1.4999999999999999E-2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12CCC-2C65-485D-B4C4-C5A255297AFB}">
  <dimension ref="A1:B38"/>
  <sheetViews>
    <sheetView showGridLines="0" workbookViewId="0"/>
  </sheetViews>
  <sheetFormatPr defaultRowHeight="13.2" x14ac:dyDescent="0.25"/>
  <cols>
    <col min="1" max="1" width="0.88671875" customWidth="1"/>
    <col min="2" max="2" width="117.33203125" bestFit="1" customWidth="1"/>
  </cols>
  <sheetData>
    <row r="1" spans="1:2" x14ac:dyDescent="0.25">
      <c r="A1" s="51"/>
    </row>
    <row r="2" spans="1:2" x14ac:dyDescent="0.25">
      <c r="B2" s="49" t="s">
        <v>48</v>
      </c>
    </row>
    <row r="3" spans="1:2" x14ac:dyDescent="0.25">
      <c r="B3" t="s">
        <v>135</v>
      </c>
    </row>
    <row r="4" spans="1:2" x14ac:dyDescent="0.25">
      <c r="B4" t="s">
        <v>136</v>
      </c>
    </row>
    <row r="5" spans="1:2" x14ac:dyDescent="0.25">
      <c r="B5" t="s">
        <v>137</v>
      </c>
    </row>
    <row r="6" spans="1:2" x14ac:dyDescent="0.25">
      <c r="B6" t="s">
        <v>138</v>
      </c>
    </row>
    <row r="8" spans="1:2" x14ac:dyDescent="0.25">
      <c r="B8" s="49" t="s">
        <v>130</v>
      </c>
    </row>
    <row r="9" spans="1:2" x14ac:dyDescent="0.25">
      <c r="B9" t="s">
        <v>139</v>
      </c>
    </row>
    <row r="10" spans="1:2" x14ac:dyDescent="0.25">
      <c r="B10" t="s">
        <v>140</v>
      </c>
    </row>
    <row r="11" spans="1:2" x14ac:dyDescent="0.25">
      <c r="B11" t="s">
        <v>141</v>
      </c>
    </row>
    <row r="12" spans="1:2" x14ac:dyDescent="0.25">
      <c r="B12" t="s">
        <v>142</v>
      </c>
    </row>
    <row r="14" spans="1:2" x14ac:dyDescent="0.25">
      <c r="B14" s="49" t="s">
        <v>131</v>
      </c>
    </row>
    <row r="15" spans="1:2" x14ac:dyDescent="0.25">
      <c r="B15" t="s">
        <v>143</v>
      </c>
    </row>
    <row r="16" spans="1:2" x14ac:dyDescent="0.25">
      <c r="B16" t="s">
        <v>144</v>
      </c>
    </row>
    <row r="17" spans="2:2" x14ac:dyDescent="0.25">
      <c r="B17" t="s">
        <v>145</v>
      </c>
    </row>
    <row r="18" spans="2:2" x14ac:dyDescent="0.25">
      <c r="B18" s="51" t="s">
        <v>186</v>
      </c>
    </row>
    <row r="20" spans="2:2" x14ac:dyDescent="0.25">
      <c r="B20" s="49" t="s">
        <v>38</v>
      </c>
    </row>
    <row r="21" spans="2:2" x14ac:dyDescent="0.25">
      <c r="B21" t="s">
        <v>146</v>
      </c>
    </row>
    <row r="22" spans="2:2" x14ac:dyDescent="0.25">
      <c r="B22" s="51" t="s">
        <v>147</v>
      </c>
    </row>
    <row r="23" spans="2:2" x14ac:dyDescent="0.25">
      <c r="B23" t="s">
        <v>148</v>
      </c>
    </row>
    <row r="24" spans="2:2" x14ac:dyDescent="0.25">
      <c r="B24" t="s">
        <v>149</v>
      </c>
    </row>
    <row r="26" spans="2:2" x14ac:dyDescent="0.25">
      <c r="B26" s="49" t="s">
        <v>132</v>
      </c>
    </row>
    <row r="27" spans="2:2" x14ac:dyDescent="0.25">
      <c r="B27" t="s">
        <v>150</v>
      </c>
    </row>
    <row r="28" spans="2:2" x14ac:dyDescent="0.25">
      <c r="B28" t="s">
        <v>151</v>
      </c>
    </row>
    <row r="29" spans="2:2" x14ac:dyDescent="0.25">
      <c r="B29" t="s">
        <v>152</v>
      </c>
    </row>
    <row r="30" spans="2:2" x14ac:dyDescent="0.25">
      <c r="B30" t="s">
        <v>153</v>
      </c>
    </row>
    <row r="32" spans="2:2" x14ac:dyDescent="0.25">
      <c r="B32" s="49" t="s">
        <v>133</v>
      </c>
    </row>
    <row r="33" spans="2:2" x14ac:dyDescent="0.25">
      <c r="B33" t="s">
        <v>154</v>
      </c>
    </row>
    <row r="34" spans="2:2" x14ac:dyDescent="0.25">
      <c r="B34" t="s">
        <v>155</v>
      </c>
    </row>
    <row r="35" spans="2:2" x14ac:dyDescent="0.25">
      <c r="B35" t="s">
        <v>156</v>
      </c>
    </row>
    <row r="36" spans="2:2" x14ac:dyDescent="0.25">
      <c r="B36" t="s">
        <v>157</v>
      </c>
    </row>
    <row r="37" spans="2:2" x14ac:dyDescent="0.25">
      <c r="B37" t="s">
        <v>134</v>
      </c>
    </row>
    <row r="38" spans="2:2" x14ac:dyDescent="0.25">
      <c r="B38"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Financials</vt:lpstr>
      <vt:lpstr>DCF</vt:lpstr>
      <vt:lpstr>Debt Schedule</vt:lpstr>
      <vt:lpstr>Claims &amp; Reserve Modeling</vt:lpstr>
      <vt:lpstr>Assumptions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Abhishek Kaushish</cp:lastModifiedBy>
  <cp:lastPrinted>2025-11-27T16:58:59Z</cp:lastPrinted>
  <dcterms:modified xsi:type="dcterms:W3CDTF">2025-11-28T19:05:37Z</dcterms:modified>
</cp:coreProperties>
</file>